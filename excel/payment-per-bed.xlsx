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กำไร" sheetId="1" state="visible" r:id="rId3"/>
    <sheet name="เฟส 2" sheetId="2" state="visible" r:id="rId4"/>
    <sheet name="ตั้งค่า" sheetId="3" state="visible" r:id="rId5"/>
    <sheet name="จ่ายรายคน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<sst xmlns="http://schemas.openxmlformats.org/spreadsheetml/2006/main" count="287" uniqueCount="216">
  <si>
    <t xml:space="preserve">สรุปรายได้ ค่าใช้จ่าย และกำไร / เดือน</t>
  </si>
  <si>
    <t xml:space="preserve">คอลัมน์ "ตอนนี้" ดึงรายได้และค่าธรรมเนียมบัตรจากชีต "จ่ายรายคน" · คอลัมน์อื่นเป็นกรณีผู้พักเปลี่ยน (ใช้ราคาเฉลี่ยและ % ค่าธรรมเนียมเท่ากับตอนนี้) · แก้ได้เฉพาะช่องพื้นเหลือง ค่าใช้จ่ายอื่นแก้ที่ชีต "ตั้งค่า"</t>
  </si>
  <si>
    <t xml:space="preserve">รายการ (บาท/เดือน)</t>
  </si>
  <si>
    <t xml:space="preserve">ตอนนี้
(ตามตารางรายคน)</t>
  </si>
  <si>
    <t xml:space="preserve">3 คน</t>
  </si>
  <si>
    <t xml:space="preserve">5 คน</t>
  </si>
  <si>
    <t xml:space="preserve">10 คน</t>
  </si>
  <si>
    <t xml:space="preserve">15 คน</t>
  </si>
  <si>
    <t xml:space="preserve">20 คน</t>
  </si>
  <si>
    <t xml:space="preserve">25 คน</t>
  </si>
  <si>
    <t xml:space="preserve">สมมติฐาน (กรอกได้)</t>
  </si>
  <si>
    <t xml:space="preserve">ผู้พัก (คน)</t>
  </si>
  <si>
    <t xml:space="preserve">พนักงานดูแล (คน)</t>
  </si>
  <si>
    <t xml:space="preserve">ค่าไฟ</t>
  </si>
  <si>
    <t xml:space="preserve">ค่าน้ำ</t>
  </si>
  <si>
    <t xml:space="preserve">การตลาดและโปรโมท</t>
  </si>
  <si>
    <t xml:space="preserve">ราคาเฉลี่ย / คน (ค่าห้อง + ค่าดูแล)</t>
  </si>
  <si>
    <t xml:space="preserve">ค่าธรรมเนียมบัตร / ผ่อน (% ของค่าห้อง + ค่าดูแล)</t>
  </si>
  <si>
    <t xml:space="preserve">รายได้</t>
  </si>
  <si>
    <t xml:space="preserve">ค่าห้อง + ค่าดูแล</t>
  </si>
  <si>
    <t xml:space="preserve">รายได้อื่น</t>
  </si>
  <si>
    <t xml:space="preserve">รายได้รวม</t>
  </si>
  <si>
    <t xml:space="preserve">ต้นทุนคงที่</t>
  </si>
  <si>
    <t xml:space="preserve">ค่าเช่า</t>
  </si>
  <si>
    <t xml:space="preserve">เงินเดือนพนักงานดูแล</t>
  </si>
  <si>
    <t xml:space="preserve">เงินเดือนผู้จัดการ</t>
  </si>
  <si>
    <t xml:space="preserve">ค่าเวชภัณฑ์และอุปกรณ์</t>
  </si>
  <si>
    <t xml:space="preserve">ค่าทำบัญชี</t>
  </si>
  <si>
    <t xml:space="preserve">อินเทอร์เน็ต</t>
  </si>
  <si>
    <t xml:space="preserve">โทรศัพท์ (True)</t>
  </si>
  <si>
    <t xml:space="preserve">รวมต้นทุนคงที่</t>
  </si>
  <si>
    <t xml:space="preserve">ต้นทุนผันแปร</t>
  </si>
  <si>
    <t xml:space="preserve">ค่าอาหาร</t>
  </si>
  <si>
    <t xml:space="preserve">อื่นๆ (% ของรายได้รวม)</t>
  </si>
  <si>
    <t xml:space="preserve">ค่าธรรมเนียมบัตร / ผ่อน 0% (รวม VAT)</t>
  </si>
  <si>
    <t xml:space="preserve">รวมต้นทุนผันแปร</t>
  </si>
  <si>
    <t xml:space="preserve">ต้นทุนรวม</t>
  </si>
  <si>
    <t xml:space="preserve">กำไร</t>
  </si>
  <si>
    <t xml:space="preserve">กำไรก่อนภาษี (EBIT)</t>
  </si>
  <si>
    <t xml:space="preserve">ภาษี</t>
  </si>
  <si>
    <t xml:space="preserve">กำไรสุทธิ</t>
  </si>
  <si>
    <t xml:space="preserve">กำไรสุทธิ % ของรายได้</t>
  </si>
  <si>
    <t xml:space="preserve">ผล</t>
  </si>
  <si>
    <t xml:space="preserve">ต้นทุนต่อผู้พัก</t>
  </si>
  <si>
    <t xml:space="preserve">ระยะคืนทุน (เดือน)</t>
  </si>
  <si>
    <t xml:space="preserve">ระยะคืนทุน (ปี)</t>
  </si>
  <si>
    <t xml:space="preserve">จุดคุ้มทุน (ผู้พักขั้นต่ำ ที่ราคาเฉลี่ยนี้)</t>
  </si>
  <si>
    <t xml:space="preserve">เป้าคืนทุน (ตั้งจำนวนปีที่ชีต "ตั้งค่า")</t>
  </si>
  <si>
    <t xml:space="preserve">กำไรสุทธิที่ต้องได้ / เดือน</t>
  </si>
  <si>
    <t xml:space="preserve">ขาดอีก / เดือน</t>
  </si>
  <si>
    <t xml:space="preserve">ราคาเฉลี่ยที่ต้องได้ / คน (ผู้พักเท่านี้)</t>
  </si>
  <si>
    <t xml:space="preserve">ต้องขึ้นราคาเฉลี่ย / คน</t>
  </si>
  <si>
    <t xml:space="preserve">ผู้พักที่ต้องมี (ราคานี้ พนักงานและค่าไฟเท่าเดิม)</t>
  </si>
  <si>
    <t xml:space="preserve">หมายเหตุ</t>
  </si>
  <si>
    <t xml:space="preserve">• คอลัมน์ "ตอนนี้": ผู้พัก รายได้ และค่าธรรมเนียมบัตร มาจากชีต "จ่ายรายคน" เปลี่ยนวิธีจ่ายหรือแบบจ่ายที่นั่น ตัวเลขที่นี่เปลี่ยนตาม</t>
  </si>
  <si>
    <t xml:space="preserve">• ค่าใช้จ่ายมาจากไฟล์ kaoiyok_financial_forecast.xlsx: ค่าเช่า เงินเดือน ค่าอาหาร ค่าไฟ ค่าน้ำ ฯลฯ พนักงาน ค่าไฟ ค่าน้ำ การตลาด แยกตามจำนวนผู้พักตามไฟล์เดิม</t>
  </si>
  <si>
    <t xml:space="preserve">• ค่าอาหารย้ายมาอยู่ในต้นทุนผันแปร และการตลาดอยู่ในต้นทุนคงที่ (ไฟล์เดิมกลับกัน) ต้นทุนรวมเท่าเดิม</t>
  </si>
  <si>
    <t xml:space="preserve">• เป้าคืนทุน: "ผู้พักที่ต้องมี" ยังไม่รวมพนักงานหรือค่าไฟที่อาจต้องเพิ่ม ถ้าผู้พักเพิ่มมาก ให้ดูคอลัมน์กรณีที่ใกล้เคียงประกอบ</t>
  </si>
  <si>
    <t xml:space="preserve">• ภาษีคิดเฉพาะเมื่อกำไรก่อนภาษีเป็นบวก · แพมเพิร์ส ค่าเวชภัณฑ์ และยาที่เก็บตามใช้จริง ไม่นับเป็นรายได้หรือต้นทุน</t>
  </si>
  <si>
    <t xml:space="preserve">เฟส 2: เปิดห้องเพิ่ม · เงินลงทุนและผลต่อกำไร</t>
  </si>
  <si>
    <t xml:space="preserve">ช่องพื้นเหลือง = ค่าประมาณ แก้ได้ (ราคาอุปกรณ์เป็นค่าประมาณช่วงตลาด ควรขอใบเสนอราคาจริง) · เฟส 1 ดึงจากชีต "สรุปกำไร" คอลัมน์ "ตอนนี้"</t>
  </si>
  <si>
    <t xml:space="preserve">ห้องที่เปิดเพิ่ม</t>
  </si>
  <si>
    <t xml:space="preserve">ห้อง</t>
  </si>
  <si>
    <t xml:space="preserve">จำนวนห้อง</t>
  </si>
  <si>
    <t xml:space="preserve">เตียง / ห้อง</t>
  </si>
  <si>
    <t xml:space="preserve">รวมเตียง</t>
  </si>
  <si>
    <t xml:space="preserve">แอร์ / ห้อง (เครื่อง)</t>
  </si>
  <si>
    <t xml:space="preserve">ราคาแอร์ / เครื่อง (รวมติดตั้ง)</t>
  </si>
  <si>
    <t xml:space="preserve">ค่าแอร์รวม</t>
  </si>
  <si>
    <t xml:space="preserve">ค่าห้อง / คน / เดือน</t>
  </si>
  <si>
    <t xml:space="preserve">ห้องเดี่ยว</t>
  </si>
  <si>
    <t xml:space="preserve">แอร์ 12,000 BTU · ค่าห้องยังไม่ได้ตั้ง ใส่ราคาจริง</t>
  </si>
  <si>
    <t xml:space="preserve">ห้องรวม 4 เตียง</t>
  </si>
  <si>
    <t xml:space="preserve">แอร์ 24,000 BTU · ค่าห้อง = ราคาล่วงหน้า 3 เดือน (ชีตตั้งค่า)</t>
  </si>
  <si>
    <t xml:space="preserve">ห้องรวม 6 เตียง</t>
  </si>
  <si>
    <t xml:space="preserve">แอร์ 18,000 BTU 2 เครื่อง · ค่าห้อง = ราคาล่วงหน้า 3 เดือน</t>
  </si>
  <si>
    <t xml:space="preserve">รวม</t>
  </si>
  <si>
    <t xml:space="preserve">ค่าห้องเฉลี่ยต่อคน (ถ่วงตามจำนวนเตียง)</t>
  </si>
  <si>
    <t xml:space="preserve">เงินลงทุนเฟส 2 (จ่ายครั้งเดียว)</t>
  </si>
  <si>
    <t xml:space="preserve">รายการ</t>
  </si>
  <si>
    <t xml:space="preserve">บาท / หน่วย</t>
  </si>
  <si>
    <t xml:space="preserve">จำนวน</t>
  </si>
  <si>
    <t xml:space="preserve">รวม (บาท)</t>
  </si>
  <si>
    <t xml:space="preserve">เตียงผู้ป่วยไฟฟ้า 3 ไก</t>
  </si>
  <si>
    <t xml:space="preserve">ประมาณ 25,000–40,000 / เตียง</t>
  </si>
  <si>
    <t xml:space="preserve">ที่นอนกันแผลกดทับ</t>
  </si>
  <si>
    <t xml:space="preserve">ประมาณ 3,000–8,000 / เตียง</t>
  </si>
  <si>
    <t xml:space="preserve">ตู้ข้างเตียง + โต๊ะคร่อมเตียง</t>
  </si>
  <si>
    <t xml:space="preserve">แอร์ (จากตารางห้องด้านบน)</t>
  </si>
  <si>
    <t xml:space="preserve">ลิฟต์บ้าน (รวมติดตั้ง)</t>
  </si>
  <si>
    <t xml:space="preserve">ลิฟต์บ้าน 2 ชั้น ประมาณ 0.9–1.5 ล้าน ขึ้นกับยี่ห้อและงานโครงสร้าง</t>
  </si>
  <si>
    <t xml:space="preserve">ปรับปรุงห้อง / ห้องน้ำ / ราวจับ</t>
  </si>
  <si>
    <t xml:space="preserve">ใส่ถ้ามี</t>
  </si>
  <si>
    <t xml:space="preserve">กริ่งเรียก / กล้อง / ม่าน / อื่นๆ</t>
  </si>
  <si>
    <t xml:space="preserve">เงินสำรองเผื่อเกินงบ</t>
  </si>
  <si>
    <t xml:space="preserve">% ของรายการด้านบน</t>
  </si>
  <si>
    <t xml:space="preserve">รวมเงินลงทุนเฟส 2</t>
  </si>
  <si>
    <t xml:space="preserve">ค่าใช้จ่ายและรายได้ต่อเดือนของเฟส 2</t>
  </si>
  <si>
    <t xml:space="preserve">ค่าบำรุงรักษาลิฟต์ / เดือน</t>
  </si>
  <si>
    <t xml:space="preserve">สัญญาบำรุงรักษารายปี เฉลี่ยต่อเดือน</t>
  </si>
  <si>
    <t xml:space="preserve">ค่าดูแลเฉลี่ย / คน</t>
  </si>
  <si>
    <t xml:space="preserve">เท่ากับเฉลี่ยของเฟส 1 (ชีตจ่ายรายคน) · พิมพ์ตัวเลขทับได้</t>
  </si>
  <si>
    <t xml:space="preserve">รายได้เฉลี่ย / คน เฟส 2</t>
  </si>
  <si>
    <t xml:space="preserve">เฟส 1 อย่างเดียว
(ตอนนี้)</t>
  </si>
  <si>
    <t xml:space="preserve">เฟส 2
+3 คน</t>
  </si>
  <si>
    <t xml:space="preserve">เฟส 2
+6 คน</t>
  </si>
  <si>
    <t xml:space="preserve">เฟส 2
+9 คน</t>
  </si>
  <si>
    <t xml:space="preserve">เฟส 2
+12 คน (เต็ม)</t>
  </si>
  <si>
    <t xml:space="preserve">ผู้พักเฟส 1 (คน)</t>
  </si>
  <si>
    <t xml:space="preserve">ผู้พักเฟส 2 (คน)</t>
  </si>
  <si>
    <t xml:space="preserve">รวมผู้พัก (คน)</t>
  </si>
  <si>
    <t xml:space="preserve">พนักงานดูแลเพิ่ม (คน)</t>
  </si>
  <si>
    <t xml:space="preserve">ค่าไฟเพิ่ม (แอร์ + ไฟชั้น 2)</t>
  </si>
  <si>
    <t xml:space="preserve">ค่าน้ำเพิ่ม</t>
  </si>
  <si>
    <t xml:space="preserve">ค่าการตลาดและโปรโมท (ทั้งศูนย์)</t>
  </si>
  <si>
    <t xml:space="preserve">รายได้เฟส 1</t>
  </si>
  <si>
    <t xml:space="preserve">รายได้เฟส 2</t>
  </si>
  <si>
    <t xml:space="preserve">ต้นทุน</t>
  </si>
  <si>
    <t xml:space="preserve">ต้นทุนเฟส 1 (ไม่รวมการตลาด)</t>
  </si>
  <si>
    <t xml:space="preserve">เงินเดือนพนักงานเพิ่ม</t>
  </si>
  <si>
    <t xml:space="preserve">ค่าไฟเพิ่ม</t>
  </si>
  <si>
    <t xml:space="preserve">ค่าบำรุงรักษาลิฟต์</t>
  </si>
  <si>
    <t xml:space="preserve">ค่าอาหารผู้พักเพิ่ม</t>
  </si>
  <si>
    <t xml:space="preserve">อื่นๆ (% ของรายได้เฟส 2)</t>
  </si>
  <si>
    <t xml:space="preserve">ค่าธรรมเนียมบัตร / ผ่อน เฟส 2</t>
  </si>
  <si>
    <t xml:space="preserve">ค่าการตลาดและโปรโมท</t>
  </si>
  <si>
    <t xml:space="preserve">กำไรและคืนทุน</t>
  </si>
  <si>
    <t xml:space="preserve">กำไรเพิ่มจากเปิดเฟส 2</t>
  </si>
  <si>
    <t xml:space="preserve">เงินลงทุนรวม (เฟส 1 + เฟส 2)</t>
  </si>
  <si>
    <t xml:space="preserve">ระยะคืนทุนรวม (ปี)</t>
  </si>
  <si>
    <t xml:space="preserve">ระยะคืนทุนเฉพาะเงินลงทุนเฟส 2 (ปี)</t>
  </si>
  <si>
    <t xml:space="preserve">ผู้พักเฟส 2 ขั้นต่ำ ที่ไม่ทำให้กำไรลดลง</t>
  </si>
  <si>
    <t xml:space="preserve">• เฟส 1 ใช้ตัวเลขคอลัมน์ "ตอนนี้" ของชีตสรุปกำไร (ผู้พัก รายได้ ต้นทุน) เปลี่ยนที่ชีตจ่ายรายคนแล้วตารางนี้เปลี่ยนตาม</t>
  </si>
  <si>
    <t xml:space="preserve">• รายได้เฟส 2 = ผู้พักเฟส 2 × (ค่าห้องเฉลี่ยถ่วงตามเตียง + ค่าดูแลเฉลี่ย) · สมมติว่าเตียงเต็มตามสัดส่วนห้อง</t>
  </si>
  <si>
    <t xml:space="preserve">• ค่าเช่า เงินเดือนผู้จัดการ และค่าใช้จ่ายคงที่อื่นของเฟส 1 ไม่เพิ่ม ถ้าต้องเช่าพื้นที่เพิ่มหรือจ้างคนเพิ่ม ใส่ในแถวค่าใช้จ่ายเพิ่ม</t>
  </si>
  <si>
    <t xml:space="preserve">• ลิฟต์เป็นเงินลงทุนก้อนใหญ่สุด ถ้าเปลี่ยนเป็นลิฟต์ขนของ/เก้าอี้ลิฟต์ขึ้นบันได หรือได้ราคาดีกว่า แก้ที่ตารางเงินลงทุน</t>
  </si>
  <si>
    <t xml:space="preserve">• ค่าการตลาด: ตั้งเป็นยอดของทั้งศูนย์ในแต่ละกรณี ตอนเตียงเต็มตั้งเป็น 0 ไว้ (ไม่ต้องโปรโมทแล้ว) ถ้ายังต้องทำการตลาดบ้าง ใส่ตัวเลขแทนได้</t>
  </si>
  <si>
    <t xml:space="preserve">• ภาษีคิดจากกำไรรวมเฟส 1 + เฟส 2</t>
  </si>
  <si>
    <t xml:space="preserve">ตั้งค่าราคาและค่าธรรมเนียม</t>
  </si>
  <si>
    <t xml:space="preserve">ช่องตัวเลขสีน้ำเงินพื้นเหลือง = แก้ได้ · ค่าตั้งต้นมาจากเว็บคำนวณต้นทุนต่อเตียง (ค่าธรรมเนียมเป็นค่าประมาณ ควรแก้ตามใบเสนอราคาจริงของธนาคาร)</t>
  </si>
  <si>
    <t xml:space="preserve">ราคาค่าห้องต่อเดือน (บาท)</t>
  </si>
  <si>
    <t xml:space="preserve">แบบจ่าย</t>
  </si>
  <si>
    <t xml:space="preserve">จ่ายครั้งละ (เดือน)</t>
  </si>
  <si>
    <t xml:space="preserve">รายเดือน</t>
  </si>
  <si>
    <t xml:space="preserve">ล่วงหน้า 3 เดือน</t>
  </si>
  <si>
    <t xml:space="preserve">ล่วงหน้า 6 เดือน</t>
  </si>
  <si>
    <t xml:space="preserve">โปรเปิดศูนย์</t>
  </si>
  <si>
    <t xml:space="preserve">โปรจ่ายล่วงหน้า 3 เดือน · หลังหมดโปรใช้ราคาปกติ</t>
  </si>
  <si>
    <t xml:space="preserve">ผ่อน 0% 3 เดือน (ราคารายเดือน)</t>
  </si>
  <si>
    <t xml:space="preserve">ราคาเท่ารายเดือน · ในชีตจ่ายรายคนเลือกวิธีจ่าย "ผ่อน 0% 3 เดือน"</t>
  </si>
  <si>
    <t xml:space="preserve">ผ่อน 0% 6 เดือน (ราคารายเดือน)</t>
  </si>
  <si>
    <t xml:space="preserve">ราคาเท่ารายเดือน · ในชีตจ่ายรายคนเลือกวิธีจ่าย "ผ่อน 0% 6 เดือน"</t>
  </si>
  <si>
    <t xml:space="preserve">ค่าดูแลเพิ่ม (บาท/เดือน)</t>
  </si>
  <si>
    <t xml:space="preserve">ประเภท</t>
  </si>
  <si>
    <t xml:space="preserve">บาท/เดือน</t>
  </si>
  <si>
    <t xml:space="preserve">ไม่มี</t>
  </si>
  <si>
    <t xml:space="preserve">ติดเตียง</t>
  </si>
  <si>
    <t xml:space="preserve">ติดเตียงมีสาย</t>
  </si>
  <si>
    <t xml:space="preserve">ค่าธรรมเนียมที่ร้านจ่าย</t>
  </si>
  <si>
    <t xml:space="preserve">วิธีจ่าย</t>
  </si>
  <si>
    <t xml:space="preserve">% ของยอด (ก่อน VAT)</t>
  </si>
  <si>
    <t xml:space="preserve">โอน / เงินสด</t>
  </si>
  <si>
    <t xml:space="preserve">รูดบัตรเครดิต</t>
  </si>
  <si>
    <t xml:space="preserve">MDR เช่น กสิกรไทย บัตรในประเทศทั่วไป 1.60% (kasikornbank.com)</t>
  </si>
  <si>
    <t xml:space="preserve">ผ่อน 0% 3 เดือน</t>
  </si>
  <si>
    <t xml:space="preserve">ผ่อน 0%: ค่าประมาณช่วงที่พบในตลาด ร้านเป็นคนออกดอกเบี้ย</t>
  </si>
  <si>
    <t xml:space="preserve">ผ่อน 0% 6 เดือน</t>
  </si>
  <si>
    <t xml:space="preserve">ผ่อน 0% 10 เดือน</t>
  </si>
  <si>
    <t xml:space="preserve">VAT ของค่าธรรมเนียม</t>
  </si>
  <si>
    <t xml:space="preserve">ธนาคารเก็บ VAT 7% ของค่าธรรมเนียม</t>
  </si>
  <si>
    <t xml:space="preserve">ค่าใช้จ่าย (บาท/เดือน)</t>
  </si>
  <si>
    <t xml:space="preserve">ค่าตั้งต้นจากไฟล์ kaoiyok_financial_forecast.xlsx ที่ส่งมา</t>
  </si>
  <si>
    <t xml:space="preserve">ค่า</t>
  </si>
  <si>
    <t xml:space="preserve">เงินเดือนพนักงานดูแล / คน</t>
  </si>
  <si>
    <t xml:space="preserve">ค่าอาหาร / ผู้พัก</t>
  </si>
  <si>
    <t xml:space="preserve">อื่นๆ (% ของรายได้)</t>
  </si>
  <si>
    <t xml:space="preserve">รายได้อื่น / ผู้พัก</t>
  </si>
  <si>
    <t xml:space="preserve">ไฟล์เดิมใส่รายได้อื่น 1,000 บาท/คน แต่ไม่ได้บวกเข้ารายได้รวม จึงตั้งเป็น 0 ไว้ก่อน</t>
  </si>
  <si>
    <t xml:space="preserve">ภาษี (% ของกำไร)</t>
  </si>
  <si>
    <t xml:space="preserve">เงินลงทุน</t>
  </si>
  <si>
    <t xml:space="preserve">เป้าคืนทุน (ปี)</t>
  </si>
  <si>
    <t xml:space="preserve">ราคาเฉลี่ย / คน สำหรับตาราง "ถ้าผู้พักเปลี่ยน" (เว้นว่าง = ใช้จากตารางรายคน)</t>
  </si>
  <si>
    <t xml:space="preserve">ใส่ 25,900 = ใช้ราคาเดียวกับไฟล์เดิม ตัวเลขทุกกรณีจะตรงกับไฟล์เดิม</t>
  </si>
  <si>
    <t xml:space="preserve">การจ่ายเงินรายคน · 10 เตียง</t>
  </si>
  <si>
    <t xml:space="preserve">กรอกเฉพาะช่องพื้นเหลือง (ชื่อ ห้อง แบบจ่าย ค่าดูแล วิธีจ่าย) ที่เหลือคำนวณเอง · ตัวอย่างใส่ไว้ให้แล้ว แก้ทับได้ · ลบแบบจ่ายออก = เตียงว่าง</t>
  </si>
  <si>
    <t xml:space="preserve">เตียง</t>
  </si>
  <si>
    <t xml:space="preserve">ชื่อผู้พัก</t>
  </si>
  <si>
    <t xml:space="preserve">ค่าห้อง / เดือน</t>
  </si>
  <si>
    <t xml:space="preserve">ยอดค่าห้องต่อครั้ง</t>
  </si>
  <si>
    <t xml:space="preserve">ค่าดูแล</t>
  </si>
  <si>
    <t xml:space="preserve">ค่าดูแล / เดือน</t>
  </si>
  <si>
    <t xml:space="preserve">% ที่ร้านจ่าย</t>
  </si>
  <si>
    <t xml:space="preserve">ค่าธรรมเนียมค่าห้อง ต่อครั้ง (รวม VAT)</t>
  </si>
  <si>
    <t xml:space="preserve">ค่าธรรมเนียมค่าดูแล / เดือน (รวม VAT)</t>
  </si>
  <si>
    <t xml:space="preserve">ค่าธรรมเนียมเฉลี่ย / เดือน</t>
  </si>
  <si>
    <t xml:space="preserve">รายรับ / เดือน</t>
  </si>
  <si>
    <t xml:space="preserve">รับสุทธิ / เดือน</t>
  </si>
  <si>
    <t xml:space="preserve">เงินเข้าครั้งแรก (หักค่าธรรมเนียมแล้ว)</t>
  </si>
  <si>
    <t xml:space="preserve">สรุป</t>
  </si>
  <si>
    <t xml:space="preserve">จ่ายโอน / เงินสด (คน)</t>
  </si>
  <si>
    <t xml:space="preserve">รูดบัตรเครดิต (คน)</t>
  </si>
  <si>
    <t xml:space="preserve">ผ่อน 0% (คน)</t>
  </si>
  <si>
    <t xml:space="preserve">รายรับรวม / เดือน (บาท)</t>
  </si>
  <si>
    <t xml:space="preserve">ค่าธรรมเนียมเฉลี่ย / เดือน (บาท)</t>
  </si>
  <si>
    <t xml:space="preserve">ค่าธรรมเนียม % ของรายรับ</t>
  </si>
  <si>
    <t xml:space="preserve">รับสุทธิ / เดือน (บาท)</t>
  </si>
  <si>
    <t xml:space="preserve">ค่าธรรมเนียมทั้งปี โดยประมาณ (บาท)</t>
  </si>
  <si>
    <t xml:space="preserve">เงินเข้าครั้งแรกรวม (บาท)</t>
  </si>
  <si>
    <t xml:space="preserve">วิธีคิด</t>
  </si>
  <si>
    <t xml:space="preserve">• ค่าห้อง / เดือน และจ่ายครั้งละกี่เดือน ดึงจากชีต "ตั้งค่า" ตามห้องและแบบจ่าย</t>
  </si>
  <si>
    <t xml:space="preserve">• ค่าธรรมเนียมค่าห้องต่อครั้ง = ยอดค่าห้องต่อครั้ง × % ที่ร้านจ่าย × (1 + VAT 7%) · จ่ายล่วงหน้าโดนหักครั้งเดียวจากยอดทั้งก้อน</t>
  </si>
  <si>
    <t xml:space="preserve">• ค่าดูแลเก็บรายเดือน: ถ้าคนนั้นรูดบัตรหรือผ่อน คิดค่าดูแลเป็นรูดบัตร (MDR) ทุกเดือน ถ้าโอน/เงินสด ไม่มีค่าธรรมเนียม</t>
  </si>
  <si>
    <t xml:space="preserve">• ค่าธรรมเนียมเฉลี่ย / เดือน = ค่าธรรมเนียมค่าห้องต่อครั้ง ÷ จำนวนเดือน + ค่าธรรมเนียมค่าดูแล / เดือน</t>
  </si>
  <si>
    <t xml:space="preserve">• คนที่จ่ายรายเดือนเลือกผ่อน 0% ไม่ได้ ถ้าเลือกไว้ ตารางจะคิดเป็นรูดบัตรและขึ้นหมายเหตุ</t>
  </si>
  <si>
    <t xml:space="preserve">• ผ่อน 0% ที่ราคารายเดือน: เลือกแบบจ่าย "ผ่อน 0% 3 / 6 เดือน (ราคารายเดือน)" แล้วเลือกวิธีจ่ายผ่อนตามจำนวนเดือน ลูกค้าจ่ายเท่าราคารายเดือน ศูนย์ได้เงินก้อนทันที</t>
  </si>
  <si>
    <t xml:space="preserve">• แพมเพิร์ส ค่าเวชภัณฑ์ และยา เก็บตามใช้จริง ไม่ได้รวมในตารางนี้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</si>
</sst>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;\(#,##0\);\-"/>
    <numFmt numFmtId="167" formatCode="0.00%;\(0.00%\);\-"/>
    <numFmt numFmtId="168" formatCode="#,##0;[RED]\-#,##0;\-"/>
    <numFmt numFmtId="169" formatCode="0.0%;[RED]\-0.0%;\-"/>
    <numFmt numFmtId="170" formatCode="@"/>
    <numFmt numFmtId="171" formatCode="0.0"/>
    <numFmt numFmtId="172" formatCode="0.0&quot; คน&quot;"/>
    <numFmt numFmtId="173" formatCode="0&quot; คน&quot;"/>
    <numFmt numFmtId="174" formatCode="0&quot; เตียง&quot;"/>
    <numFmt numFmtId="175" formatCode="0&quot; เครื่อง&quot;"/>
    <numFmt numFmtId="176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ahoma"/>
      <family val="0"/>
      <charset val="1"/>
    </font>
    <font>
      <i val="true"/>
      <sz val="10"/>
      <color rgb="FF555555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name val="Tahoma"/>
      <family val="0"/>
      <charset val="1"/>
    </font>
    <font>
      <sz val="10"/>
      <color rgb="FF00800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444444"/>
      <name val="Tahoma"/>
      <family val="0"/>
      <charset val="1"/>
    </font>
    <font>
      <b val="true"/>
      <sz val="12"/>
      <name val="Tahom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7ECF3"/>
        <bgColor rgb="FFD9E1EC"/>
      </patternFill>
    </fill>
    <fill>
      <patternFill patternType="solid">
        <fgColor rgb="FFFFF2CC"/>
        <bgColor rgb="FFE7ECF3"/>
      </patternFill>
    </fill>
    <fill>
      <patternFill patternType="solid">
        <fgColor rgb="FFD9E1EC"/>
        <bgColor rgb="FFE7EC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Tahoma"/>
        <charset val="1"/>
        <family val="0"/>
        <b val="1"/>
        <color rgb="FFC00000"/>
      </font>
    </dxf>
    <dxf>
      <font>
        <name val="Tahoma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FFF2CC"/>
      <rgbColor rgb="FFE7ECF3"/>
      <rgbColor rgb="FF660066"/>
      <rgbColor rgb="FFFF8080"/>
      <rgbColor rgb="FF0066CC"/>
      <rgbColor rgb="FFD9E1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6" t="s">
        <v>11</v>
      </c>
      <c r="B6" s="7" t="n">
        <f aca="false">จ่ายรายคน!$D$19</f>
        <v>10</v>
      </c>
      <c r="C6" s="8" t="n">
        <v>3</v>
      </c>
      <c r="D6" s="8" t="n">
        <v>5</v>
      </c>
      <c r="E6" s="8" t="n">
        <v>10</v>
      </c>
      <c r="F6" s="8" t="n">
        <v>15</v>
      </c>
      <c r="G6" s="8" t="n">
        <v>20</v>
      </c>
      <c r="H6" s="8" t="n">
        <v>25</v>
      </c>
    </row>
    <row r="7" customFormat="false" ht="15" hidden="false" customHeight="false" outlineLevel="0" collapsed="false">
      <c r="A7" s="6" t="s">
        <v>12</v>
      </c>
      <c r="B7" s="8" t="n">
        <v>4</v>
      </c>
      <c r="C7" s="8" t="n">
        <v>3</v>
      </c>
      <c r="D7" s="8" t="n">
        <v>3</v>
      </c>
      <c r="E7" s="8" t="n">
        <v>4</v>
      </c>
      <c r="F7" s="8" t="n">
        <v>6</v>
      </c>
      <c r="G7" s="8" t="n">
        <v>7</v>
      </c>
      <c r="H7" s="8" t="n">
        <v>8</v>
      </c>
    </row>
    <row r="8" customFormat="false" ht="15" hidden="false" customHeight="false" outlineLevel="0" collapsed="false">
      <c r="A8" s="6" t="s">
        <v>13</v>
      </c>
      <c r="B8" s="9" t="n">
        <v>12000</v>
      </c>
      <c r="C8" s="9" t="n">
        <v>8000</v>
      </c>
      <c r="D8" s="9" t="n">
        <v>8000</v>
      </c>
      <c r="E8" s="9" t="n">
        <v>12000</v>
      </c>
      <c r="F8" s="9" t="n">
        <v>20000</v>
      </c>
      <c r="G8" s="9" t="n">
        <v>20000</v>
      </c>
      <c r="H8" s="9" t="n">
        <v>25000</v>
      </c>
    </row>
    <row r="9" customFormat="false" ht="15" hidden="false" customHeight="false" outlineLevel="0" collapsed="false">
      <c r="A9" s="6" t="s">
        <v>14</v>
      </c>
      <c r="B9" s="9" t="n">
        <v>1000</v>
      </c>
      <c r="C9" s="9" t="n">
        <v>300</v>
      </c>
      <c r="D9" s="9" t="n">
        <v>600</v>
      </c>
      <c r="E9" s="9" t="n">
        <v>1000</v>
      </c>
      <c r="F9" s="9" t="n">
        <v>2000</v>
      </c>
      <c r="G9" s="9" t="n">
        <v>3000</v>
      </c>
      <c r="H9" s="9" t="n">
        <v>3000</v>
      </c>
    </row>
    <row r="10" customFormat="false" ht="15" hidden="false" customHeight="false" outlineLevel="0" collapsed="false">
      <c r="A10" s="6" t="s">
        <v>15</v>
      </c>
      <c r="B10" s="9" t="n">
        <v>20000</v>
      </c>
      <c r="C10" s="9" t="n">
        <v>25000</v>
      </c>
      <c r="D10" s="9" t="n">
        <v>25000</v>
      </c>
      <c r="E10" s="9" t="n">
        <v>20000</v>
      </c>
      <c r="F10" s="9" t="n">
        <v>20000</v>
      </c>
      <c r="G10" s="9" t="n">
        <v>20000</v>
      </c>
      <c r="H10" s="9" t="n">
        <v>20000</v>
      </c>
    </row>
    <row r="11" customFormat="false" ht="15" hidden="false" customHeight="false" outlineLevel="0" collapsed="false">
      <c r="A11" s="6" t="s">
        <v>16</v>
      </c>
      <c r="B11" s="10" t="n">
        <f aca="false">IF(จ่ายรายคน!$D$19=0,0,จ่ายรายคน!$O$15/จ่ายรายคน!$D$19)</f>
        <v>24820</v>
      </c>
      <c r="C11" s="10" t="n">
        <f aca="false">IF(ตั้งค่า!$B$44="",$B$11,ตั้งค่า!$B$44)</f>
        <v>24820</v>
      </c>
      <c r="D11" s="10" t="n">
        <f aca="false">IF(ตั้งค่า!$B$44="",$B$11,ตั้งค่า!$B$44)</f>
        <v>24820</v>
      </c>
      <c r="E11" s="10" t="n">
        <f aca="false">IF(ตั้งค่า!$B$44="",$B$11,ตั้งค่า!$B$44)</f>
        <v>24820</v>
      </c>
      <c r="F11" s="10" t="n">
        <f aca="false">IF(ตั้งค่า!$B$44="",$B$11,ตั้งค่า!$B$44)</f>
        <v>24820</v>
      </c>
      <c r="G11" s="10" t="n">
        <f aca="false">IF(ตั้งค่า!$B$44="",$B$11,ตั้งค่า!$B$44)</f>
        <v>24820</v>
      </c>
      <c r="H11" s="10" t="n">
        <f aca="false">IF(ตั้งค่า!$B$44="",$B$11,ตั้งค่า!$B$44)</f>
        <v>24820</v>
      </c>
    </row>
    <row r="12" customFormat="false" ht="15" hidden="false" customHeight="false" outlineLevel="0" collapsed="false">
      <c r="A12" s="6" t="s">
        <v>17</v>
      </c>
      <c r="B12" s="11" t="n">
        <f aca="false">IF(จ่ายรายคน!$O$15=0,0,จ่ายรายคน!$N$15/จ่ายรายคน!$O$15)</f>
        <v>0.0179313376309428</v>
      </c>
      <c r="C12" s="12" t="n">
        <f aca="false">$B$12</f>
        <v>0.0179313376309428</v>
      </c>
      <c r="D12" s="12" t="n">
        <f aca="false">$B$12</f>
        <v>0.0179313376309428</v>
      </c>
      <c r="E12" s="12" t="n">
        <f aca="false">$B$12</f>
        <v>0.0179313376309428</v>
      </c>
      <c r="F12" s="12" t="n">
        <f aca="false">$B$12</f>
        <v>0.0179313376309428</v>
      </c>
      <c r="G12" s="12" t="n">
        <f aca="false">$B$12</f>
        <v>0.0179313376309428</v>
      </c>
      <c r="H12" s="12" t="n">
        <f aca="false">$B$12</f>
        <v>0.0179313376309428</v>
      </c>
    </row>
    <row r="14" customFormat="false" ht="15" hidden="false" customHeight="false" outlineLevel="0" collapsed="false">
      <c r="A14" s="4" t="s">
        <v>18</v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6" t="s">
        <v>19</v>
      </c>
      <c r="B15" s="10" t="n">
        <f aca="false">จ่ายรายคน!$O$15</f>
        <v>248200</v>
      </c>
      <c r="C15" s="13" t="n">
        <f aca="false">C11*C6</f>
        <v>74460</v>
      </c>
      <c r="D15" s="13" t="n">
        <f aca="false">D11*D6</f>
        <v>124100</v>
      </c>
      <c r="E15" s="13" t="n">
        <f aca="false">E11*E6</f>
        <v>248200</v>
      </c>
      <c r="F15" s="13" t="n">
        <f aca="false">F11*F6</f>
        <v>372300</v>
      </c>
      <c r="G15" s="13" t="n">
        <f aca="false">G11*G6</f>
        <v>496400</v>
      </c>
      <c r="H15" s="13" t="n">
        <f aca="false">H11*H6</f>
        <v>620500</v>
      </c>
    </row>
    <row r="16" customFormat="false" ht="15" hidden="false" customHeight="false" outlineLevel="0" collapsed="false">
      <c r="A16" s="6" t="s">
        <v>20</v>
      </c>
      <c r="B16" s="10" t="n">
        <f aca="false">ตั้งค่า!$B$40*B6</f>
        <v>0</v>
      </c>
      <c r="C16" s="10" t="n">
        <f aca="false">ตั้งค่า!$B$40*C6</f>
        <v>0</v>
      </c>
      <c r="D16" s="10" t="n">
        <f aca="false">ตั้งค่า!$B$40*D6</f>
        <v>0</v>
      </c>
      <c r="E16" s="10" t="n">
        <f aca="false">ตั้งค่า!$B$40*E6</f>
        <v>0</v>
      </c>
      <c r="F16" s="10" t="n">
        <f aca="false">ตั้งค่า!$B$40*F6</f>
        <v>0</v>
      </c>
      <c r="G16" s="10" t="n">
        <f aca="false">ตั้งค่า!$B$40*G6</f>
        <v>0</v>
      </c>
      <c r="H16" s="10" t="n">
        <f aca="false">ตั้งค่า!$B$40*H6</f>
        <v>0</v>
      </c>
    </row>
    <row r="17" customFormat="false" ht="15" hidden="false" customHeight="false" outlineLevel="0" collapsed="false">
      <c r="A17" s="14" t="s">
        <v>21</v>
      </c>
      <c r="B17" s="15" t="n">
        <f aca="false">B15+B16</f>
        <v>248200</v>
      </c>
      <c r="C17" s="15" t="n">
        <f aca="false">C15+C16</f>
        <v>74460</v>
      </c>
      <c r="D17" s="15" t="n">
        <f aca="false">D15+D16</f>
        <v>124100</v>
      </c>
      <c r="E17" s="15" t="n">
        <f aca="false">E15+E16</f>
        <v>248200</v>
      </c>
      <c r="F17" s="15" t="n">
        <f aca="false">F15+F16</f>
        <v>372300</v>
      </c>
      <c r="G17" s="15" t="n">
        <f aca="false">G15+G16</f>
        <v>496400</v>
      </c>
      <c r="H17" s="15" t="n">
        <f aca="false">H15+H16</f>
        <v>620500</v>
      </c>
    </row>
    <row r="19" customFormat="false" ht="15" hidden="false" customHeight="false" outlineLevel="0" collapsed="false">
      <c r="A19" s="4" t="s">
        <v>22</v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6" t="s">
        <v>23</v>
      </c>
      <c r="B20" s="10" t="n">
        <f aca="false">ตั้งค่า!$B$31</f>
        <v>52632</v>
      </c>
      <c r="C20" s="10" t="n">
        <f aca="false">ตั้งค่า!$B$31</f>
        <v>52632</v>
      </c>
      <c r="D20" s="10" t="n">
        <f aca="false">ตั้งค่า!$B$31</f>
        <v>52632</v>
      </c>
      <c r="E20" s="10" t="n">
        <f aca="false">ตั้งค่า!$B$31</f>
        <v>52632</v>
      </c>
      <c r="F20" s="10" t="n">
        <f aca="false">ตั้งค่า!$B$31</f>
        <v>52632</v>
      </c>
      <c r="G20" s="10" t="n">
        <f aca="false">ตั้งค่า!$B$31</f>
        <v>52632</v>
      </c>
      <c r="H20" s="10" t="n">
        <f aca="false">ตั้งค่า!$B$31</f>
        <v>52632</v>
      </c>
    </row>
    <row r="21" customFormat="false" ht="15" hidden="false" customHeight="false" outlineLevel="0" collapsed="false">
      <c r="A21" s="6" t="s">
        <v>24</v>
      </c>
      <c r="B21" s="10" t="n">
        <f aca="false">B7*ตั้งค่า!$B$37</f>
        <v>60000</v>
      </c>
      <c r="C21" s="10" t="n">
        <f aca="false">C7*ตั้งค่า!$B$37</f>
        <v>45000</v>
      </c>
      <c r="D21" s="10" t="n">
        <f aca="false">D7*ตั้งค่า!$B$37</f>
        <v>45000</v>
      </c>
      <c r="E21" s="10" t="n">
        <f aca="false">E7*ตั้งค่า!$B$37</f>
        <v>60000</v>
      </c>
      <c r="F21" s="10" t="n">
        <f aca="false">F7*ตั้งค่า!$B$37</f>
        <v>90000</v>
      </c>
      <c r="G21" s="10" t="n">
        <f aca="false">G7*ตั้งค่า!$B$37</f>
        <v>105000</v>
      </c>
      <c r="H21" s="10" t="n">
        <f aca="false">H7*ตั้งค่า!$B$37</f>
        <v>120000</v>
      </c>
    </row>
    <row r="22" customFormat="false" ht="15" hidden="false" customHeight="false" outlineLevel="0" collapsed="false">
      <c r="A22" s="6" t="s">
        <v>25</v>
      </c>
      <c r="B22" s="10" t="n">
        <f aca="false">ตั้งค่า!$B$32</f>
        <v>20000</v>
      </c>
      <c r="C22" s="10" t="n">
        <f aca="false">ตั้งค่า!$B$32</f>
        <v>20000</v>
      </c>
      <c r="D22" s="10" t="n">
        <f aca="false">ตั้งค่า!$B$32</f>
        <v>20000</v>
      </c>
      <c r="E22" s="10" t="n">
        <f aca="false">ตั้งค่า!$B$32</f>
        <v>20000</v>
      </c>
      <c r="F22" s="10" t="n">
        <f aca="false">ตั้งค่า!$B$32</f>
        <v>20000</v>
      </c>
      <c r="G22" s="10" t="n">
        <f aca="false">ตั้งค่า!$B$32</f>
        <v>20000</v>
      </c>
      <c r="H22" s="10" t="n">
        <f aca="false">ตั้งค่า!$B$32</f>
        <v>20000</v>
      </c>
    </row>
    <row r="23" customFormat="false" ht="15" hidden="false" customHeight="false" outlineLevel="0" collapsed="false">
      <c r="A23" s="6" t="s">
        <v>26</v>
      </c>
      <c r="B23" s="10" t="n">
        <f aca="false">ตั้งค่า!$B$36</f>
        <v>0</v>
      </c>
      <c r="C23" s="10" t="n">
        <f aca="false">ตั้งค่า!$B$36</f>
        <v>0</v>
      </c>
      <c r="D23" s="10" t="n">
        <f aca="false">ตั้งค่า!$B$36</f>
        <v>0</v>
      </c>
      <c r="E23" s="10" t="n">
        <f aca="false">ตั้งค่า!$B$36</f>
        <v>0</v>
      </c>
      <c r="F23" s="10" t="n">
        <f aca="false">ตั้งค่า!$B$36</f>
        <v>0</v>
      </c>
      <c r="G23" s="10" t="n">
        <f aca="false">ตั้งค่า!$B$36</f>
        <v>0</v>
      </c>
      <c r="H23" s="10" t="n">
        <f aca="false">ตั้งค่า!$B$36</f>
        <v>0</v>
      </c>
    </row>
    <row r="24" customFormat="false" ht="15" hidden="false" customHeight="false" outlineLevel="0" collapsed="false">
      <c r="A24" s="6" t="s">
        <v>27</v>
      </c>
      <c r="B24" s="10" t="n">
        <f aca="false">ตั้งค่า!$B$33</f>
        <v>4500</v>
      </c>
      <c r="C24" s="10" t="n">
        <f aca="false">ตั้งค่า!$B$33</f>
        <v>4500</v>
      </c>
      <c r="D24" s="10" t="n">
        <f aca="false">ตั้งค่า!$B$33</f>
        <v>4500</v>
      </c>
      <c r="E24" s="10" t="n">
        <f aca="false">ตั้งค่า!$B$33</f>
        <v>4500</v>
      </c>
      <c r="F24" s="10" t="n">
        <f aca="false">ตั้งค่า!$B$33</f>
        <v>4500</v>
      </c>
      <c r="G24" s="10" t="n">
        <f aca="false">ตั้งค่า!$B$33</f>
        <v>4500</v>
      </c>
      <c r="H24" s="10" t="n">
        <f aca="false">ตั้งค่า!$B$33</f>
        <v>4500</v>
      </c>
    </row>
    <row r="25" customFormat="false" ht="15" hidden="false" customHeight="false" outlineLevel="0" collapsed="false">
      <c r="A25" s="6" t="s">
        <v>13</v>
      </c>
      <c r="B25" s="13" t="n">
        <f aca="false">B8</f>
        <v>12000</v>
      </c>
      <c r="C25" s="13" t="n">
        <f aca="false">C8</f>
        <v>8000</v>
      </c>
      <c r="D25" s="13" t="n">
        <f aca="false">D8</f>
        <v>8000</v>
      </c>
      <c r="E25" s="13" t="n">
        <f aca="false">E8</f>
        <v>12000</v>
      </c>
      <c r="F25" s="13" t="n">
        <f aca="false">F8</f>
        <v>20000</v>
      </c>
      <c r="G25" s="13" t="n">
        <f aca="false">G8</f>
        <v>20000</v>
      </c>
      <c r="H25" s="13" t="n">
        <f aca="false">H8</f>
        <v>25000</v>
      </c>
    </row>
    <row r="26" customFormat="false" ht="15" hidden="false" customHeight="false" outlineLevel="0" collapsed="false">
      <c r="A26" s="6" t="s">
        <v>14</v>
      </c>
      <c r="B26" s="13" t="n">
        <f aca="false">B9</f>
        <v>1000</v>
      </c>
      <c r="C26" s="13" t="n">
        <f aca="false">C9</f>
        <v>300</v>
      </c>
      <c r="D26" s="13" t="n">
        <f aca="false">D9</f>
        <v>600</v>
      </c>
      <c r="E26" s="13" t="n">
        <f aca="false">E9</f>
        <v>1000</v>
      </c>
      <c r="F26" s="13" t="n">
        <f aca="false">F9</f>
        <v>2000</v>
      </c>
      <c r="G26" s="13" t="n">
        <f aca="false">G9</f>
        <v>3000</v>
      </c>
      <c r="H26" s="13" t="n">
        <f aca="false">H9</f>
        <v>3000</v>
      </c>
    </row>
    <row r="27" customFormat="false" ht="15" hidden="false" customHeight="false" outlineLevel="0" collapsed="false">
      <c r="A27" s="6" t="s">
        <v>28</v>
      </c>
      <c r="B27" s="10" t="n">
        <f aca="false">ตั้งค่า!$B$34</f>
        <v>500</v>
      </c>
      <c r="C27" s="10" t="n">
        <f aca="false">ตั้งค่า!$B$34</f>
        <v>500</v>
      </c>
      <c r="D27" s="10" t="n">
        <f aca="false">ตั้งค่า!$B$34</f>
        <v>500</v>
      </c>
      <c r="E27" s="10" t="n">
        <f aca="false">ตั้งค่า!$B$34</f>
        <v>500</v>
      </c>
      <c r="F27" s="10" t="n">
        <f aca="false">ตั้งค่า!$B$34</f>
        <v>500</v>
      </c>
      <c r="G27" s="10" t="n">
        <f aca="false">ตั้งค่า!$B$34</f>
        <v>500</v>
      </c>
      <c r="H27" s="10" t="n">
        <f aca="false">ตั้งค่า!$B$34</f>
        <v>500</v>
      </c>
    </row>
    <row r="28" customFormat="false" ht="15" hidden="false" customHeight="false" outlineLevel="0" collapsed="false">
      <c r="A28" s="6" t="s">
        <v>29</v>
      </c>
      <c r="B28" s="10" t="n">
        <f aca="false">ตั้งค่า!$B$35</f>
        <v>1200</v>
      </c>
      <c r="C28" s="10" t="n">
        <f aca="false">ตั้งค่า!$B$35</f>
        <v>1200</v>
      </c>
      <c r="D28" s="10" t="n">
        <f aca="false">ตั้งค่า!$B$35</f>
        <v>1200</v>
      </c>
      <c r="E28" s="10" t="n">
        <f aca="false">ตั้งค่า!$B$35</f>
        <v>1200</v>
      </c>
      <c r="F28" s="10" t="n">
        <f aca="false">ตั้งค่า!$B$35</f>
        <v>1200</v>
      </c>
      <c r="G28" s="10" t="n">
        <f aca="false">ตั้งค่า!$B$35</f>
        <v>1200</v>
      </c>
      <c r="H28" s="10" t="n">
        <f aca="false">ตั้งค่า!$B$35</f>
        <v>1200</v>
      </c>
    </row>
    <row r="29" customFormat="false" ht="15" hidden="false" customHeight="false" outlineLevel="0" collapsed="false">
      <c r="A29" s="6" t="s">
        <v>15</v>
      </c>
      <c r="B29" s="13" t="n">
        <f aca="false">B10</f>
        <v>20000</v>
      </c>
      <c r="C29" s="13" t="n">
        <f aca="false">C10</f>
        <v>25000</v>
      </c>
      <c r="D29" s="13" t="n">
        <f aca="false">D10</f>
        <v>25000</v>
      </c>
      <c r="E29" s="13" t="n">
        <f aca="false">E10</f>
        <v>20000</v>
      </c>
      <c r="F29" s="13" t="n">
        <f aca="false">F10</f>
        <v>20000</v>
      </c>
      <c r="G29" s="13" t="n">
        <f aca="false">G10</f>
        <v>20000</v>
      </c>
      <c r="H29" s="13" t="n">
        <f aca="false">H10</f>
        <v>20000</v>
      </c>
    </row>
    <row r="30" customFormat="false" ht="15" hidden="false" customHeight="false" outlineLevel="0" collapsed="false">
      <c r="A30" s="14" t="s">
        <v>30</v>
      </c>
      <c r="B30" s="15" t="n">
        <f aca="false">SUM(B20:B29)</f>
        <v>171832</v>
      </c>
      <c r="C30" s="15" t="n">
        <f aca="false">SUM(C20:C29)</f>
        <v>157132</v>
      </c>
      <c r="D30" s="15" t="n">
        <f aca="false">SUM(D20:D29)</f>
        <v>157432</v>
      </c>
      <c r="E30" s="15" t="n">
        <f aca="false">SUM(E20:E29)</f>
        <v>171832</v>
      </c>
      <c r="F30" s="15" t="n">
        <f aca="false">SUM(F20:F29)</f>
        <v>210832</v>
      </c>
      <c r="G30" s="15" t="n">
        <f aca="false">SUM(G20:G29)</f>
        <v>226832</v>
      </c>
      <c r="H30" s="15" t="n">
        <f aca="false">SUM(H20:H29)</f>
        <v>246832</v>
      </c>
    </row>
    <row r="32" customFormat="false" ht="15" hidden="false" customHeight="false" outlineLevel="0" collapsed="false">
      <c r="A32" s="4" t="s">
        <v>31</v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6" t="s">
        <v>32</v>
      </c>
      <c r="B33" s="10" t="n">
        <f aca="false">ตั้งค่า!$B$38*B6</f>
        <v>45000</v>
      </c>
      <c r="C33" s="10" t="n">
        <f aca="false">ตั้งค่า!$B$38*C6</f>
        <v>13500</v>
      </c>
      <c r="D33" s="10" t="n">
        <f aca="false">ตั้งค่า!$B$38*D6</f>
        <v>22500</v>
      </c>
      <c r="E33" s="10" t="n">
        <f aca="false">ตั้งค่า!$B$38*E6</f>
        <v>45000</v>
      </c>
      <c r="F33" s="10" t="n">
        <f aca="false">ตั้งค่า!$B$38*F6</f>
        <v>67500</v>
      </c>
      <c r="G33" s="10" t="n">
        <f aca="false">ตั้งค่า!$B$38*G6</f>
        <v>90000</v>
      </c>
      <c r="H33" s="10" t="n">
        <f aca="false">ตั้งค่า!$B$38*H6</f>
        <v>112500</v>
      </c>
    </row>
    <row r="34" customFormat="false" ht="15" hidden="false" customHeight="false" outlineLevel="0" collapsed="false">
      <c r="A34" s="6" t="s">
        <v>33</v>
      </c>
      <c r="B34" s="10" t="n">
        <f aca="false">ตั้งค่า!$B$39*B17</f>
        <v>12410</v>
      </c>
      <c r="C34" s="10" t="n">
        <f aca="false">ตั้งค่า!$B$39*C17</f>
        <v>3723</v>
      </c>
      <c r="D34" s="10" t="n">
        <f aca="false">ตั้งค่า!$B$39*D17</f>
        <v>6205</v>
      </c>
      <c r="E34" s="10" t="n">
        <f aca="false">ตั้งค่า!$B$39*E17</f>
        <v>12410</v>
      </c>
      <c r="F34" s="10" t="n">
        <f aca="false">ตั้งค่า!$B$39*F17</f>
        <v>18615</v>
      </c>
      <c r="G34" s="10" t="n">
        <f aca="false">ตั้งค่า!$B$39*G17</f>
        <v>24820</v>
      </c>
      <c r="H34" s="10" t="n">
        <f aca="false">ตั้งค่า!$B$39*H17</f>
        <v>31025</v>
      </c>
    </row>
    <row r="35" customFormat="false" ht="15" hidden="false" customHeight="false" outlineLevel="0" collapsed="false">
      <c r="A35" s="6" t="s">
        <v>34</v>
      </c>
      <c r="B35" s="10" t="n">
        <f aca="false">จ่ายรายคน!$N$15</f>
        <v>4450.558</v>
      </c>
      <c r="C35" s="13" t="n">
        <f aca="false">C12*C15</f>
        <v>1335.1674</v>
      </c>
      <c r="D35" s="13" t="n">
        <f aca="false">D12*D15</f>
        <v>2225.279</v>
      </c>
      <c r="E35" s="13" t="n">
        <f aca="false">E12*E15</f>
        <v>4450.558</v>
      </c>
      <c r="F35" s="13" t="n">
        <f aca="false">F12*F15</f>
        <v>6675.837</v>
      </c>
      <c r="G35" s="13" t="n">
        <f aca="false">G12*G15</f>
        <v>8901.116</v>
      </c>
      <c r="H35" s="13" t="n">
        <f aca="false">H12*H15</f>
        <v>11126.395</v>
      </c>
    </row>
    <row r="36" customFormat="false" ht="15" hidden="false" customHeight="false" outlineLevel="0" collapsed="false">
      <c r="A36" s="14" t="s">
        <v>35</v>
      </c>
      <c r="B36" s="15" t="n">
        <f aca="false">SUM(B33:B35)</f>
        <v>61860.558</v>
      </c>
      <c r="C36" s="15" t="n">
        <f aca="false">SUM(C33:C35)</f>
        <v>18558.1674</v>
      </c>
      <c r="D36" s="15" t="n">
        <f aca="false">SUM(D33:D35)</f>
        <v>30930.279</v>
      </c>
      <c r="E36" s="15" t="n">
        <f aca="false">SUM(E33:E35)</f>
        <v>61860.558</v>
      </c>
      <c r="F36" s="15" t="n">
        <f aca="false">SUM(F33:F35)</f>
        <v>92790.837</v>
      </c>
      <c r="G36" s="15" t="n">
        <f aca="false">SUM(G33:G35)</f>
        <v>123721.116</v>
      </c>
      <c r="H36" s="15" t="n">
        <f aca="false">SUM(H33:H35)</f>
        <v>154651.395</v>
      </c>
    </row>
    <row r="37" customFormat="false" ht="15" hidden="false" customHeight="false" outlineLevel="0" collapsed="false">
      <c r="A37" s="14" t="s">
        <v>36</v>
      </c>
      <c r="B37" s="15" t="n">
        <f aca="false">B30+B36</f>
        <v>233692.558</v>
      </c>
      <c r="C37" s="15" t="n">
        <f aca="false">C30+C36</f>
        <v>175690.1674</v>
      </c>
      <c r="D37" s="15" t="n">
        <f aca="false">D30+D36</f>
        <v>188362.279</v>
      </c>
      <c r="E37" s="15" t="n">
        <f aca="false">E30+E36</f>
        <v>233692.558</v>
      </c>
      <c r="F37" s="15" t="n">
        <f aca="false">F30+F36</f>
        <v>303622.837</v>
      </c>
      <c r="G37" s="15" t="n">
        <f aca="false">G30+G36</f>
        <v>350553.116</v>
      </c>
      <c r="H37" s="15" t="n">
        <f aca="false">H30+H36</f>
        <v>401483.395</v>
      </c>
    </row>
    <row r="39" customFormat="false" ht="15" hidden="false" customHeight="false" outlineLevel="0" collapsed="false">
      <c r="A39" s="4" t="s">
        <v>37</v>
      </c>
      <c r="B39" s="5"/>
      <c r="C39" s="5"/>
      <c r="D39" s="5"/>
      <c r="E39" s="5"/>
      <c r="F39" s="5"/>
      <c r="G39" s="5"/>
      <c r="H39" s="5"/>
    </row>
    <row r="40" customFormat="false" ht="15" hidden="false" customHeight="false" outlineLevel="0" collapsed="false">
      <c r="A40" s="6" t="s">
        <v>38</v>
      </c>
      <c r="B40" s="16" t="n">
        <f aca="false">B17-B37</f>
        <v>14507.442</v>
      </c>
      <c r="C40" s="16" t="n">
        <f aca="false">C17-C37</f>
        <v>-101230.1674</v>
      </c>
      <c r="D40" s="16" t="n">
        <f aca="false">D17-D37</f>
        <v>-64262.279</v>
      </c>
      <c r="E40" s="16" t="n">
        <f aca="false">E17-E37</f>
        <v>14507.442</v>
      </c>
      <c r="F40" s="16" t="n">
        <f aca="false">F17-F37</f>
        <v>68677.163</v>
      </c>
      <c r="G40" s="16" t="n">
        <f aca="false">G17-G37</f>
        <v>145846.884</v>
      </c>
      <c r="H40" s="16" t="n">
        <f aca="false">H17-H37</f>
        <v>219016.605</v>
      </c>
    </row>
    <row r="41" customFormat="false" ht="15" hidden="false" customHeight="false" outlineLevel="0" collapsed="false">
      <c r="A41" s="6" t="s">
        <v>39</v>
      </c>
      <c r="B41" s="10" t="n">
        <f aca="false">MAX(0,B40)*ตั้งค่า!$B$41</f>
        <v>2901.4884</v>
      </c>
      <c r="C41" s="10" t="n">
        <f aca="false">MAX(0,C40)*ตั้งค่า!$B$41</f>
        <v>0</v>
      </c>
      <c r="D41" s="10" t="n">
        <f aca="false">MAX(0,D40)*ตั้งค่า!$B$41</f>
        <v>0</v>
      </c>
      <c r="E41" s="10" t="n">
        <f aca="false">MAX(0,E40)*ตั้งค่า!$B$41</f>
        <v>2901.4884</v>
      </c>
      <c r="F41" s="10" t="n">
        <f aca="false">MAX(0,F40)*ตั้งค่า!$B$41</f>
        <v>13735.4326</v>
      </c>
      <c r="G41" s="10" t="n">
        <f aca="false">MAX(0,G40)*ตั้งค่า!$B$41</f>
        <v>29169.3768</v>
      </c>
      <c r="H41" s="10" t="n">
        <f aca="false">MAX(0,H40)*ตั้งค่า!$B$41</f>
        <v>43803.321</v>
      </c>
    </row>
    <row r="42" customFormat="false" ht="15" hidden="false" customHeight="false" outlineLevel="0" collapsed="false">
      <c r="A42" s="14" t="s">
        <v>40</v>
      </c>
      <c r="B42" s="17" t="n">
        <f aca="false">B40-B41</f>
        <v>11605.9536</v>
      </c>
      <c r="C42" s="17" t="n">
        <f aca="false">C40-C41</f>
        <v>-101230.1674</v>
      </c>
      <c r="D42" s="17" t="n">
        <f aca="false">D40-D41</f>
        <v>-64262.279</v>
      </c>
      <c r="E42" s="17" t="n">
        <f aca="false">E40-E41</f>
        <v>11605.9536</v>
      </c>
      <c r="F42" s="17" t="n">
        <f aca="false">F40-F41</f>
        <v>54941.7304</v>
      </c>
      <c r="G42" s="17" t="n">
        <f aca="false">G40-G41</f>
        <v>116677.5072</v>
      </c>
      <c r="H42" s="17" t="n">
        <f aca="false">H40-H41</f>
        <v>175213.284</v>
      </c>
    </row>
    <row r="43" customFormat="false" ht="15" hidden="false" customHeight="false" outlineLevel="0" collapsed="false">
      <c r="A43" s="6" t="s">
        <v>41</v>
      </c>
      <c r="B43" s="18" t="n">
        <f aca="false">IF(B17=0,0,B42/B17)</f>
        <v>0.0467604899274778</v>
      </c>
      <c r="C43" s="18" t="n">
        <f aca="false">IF(C17=0,0,C42/C17)</f>
        <v>-1.35952413913511</v>
      </c>
      <c r="D43" s="18" t="n">
        <f aca="false">IF(D17=0,0,D42/D17)</f>
        <v>-0.517826583400484</v>
      </c>
      <c r="E43" s="18" t="n">
        <f aca="false">IF(E17=0,0,E42/E17)</f>
        <v>0.0467604899274778</v>
      </c>
      <c r="F43" s="18" t="n">
        <f aca="false">IF(F17=0,0,F42/F17)</f>
        <v>0.147573812516788</v>
      </c>
      <c r="G43" s="18" t="n">
        <f aca="false">IF(G17=0,0,G42/G17)</f>
        <v>0.235047355358582</v>
      </c>
      <c r="H43" s="18" t="n">
        <f aca="false">IF(H17=0,0,H42/H17)</f>
        <v>0.282374349717969</v>
      </c>
    </row>
    <row r="44" customFormat="false" ht="15" hidden="false" customHeight="false" outlineLevel="0" collapsed="false">
      <c r="A44" s="19" t="s">
        <v>42</v>
      </c>
      <c r="B44" s="20" t="str">
        <f aca="false">IF(B42&gt;=0,"กำไร","ขาดทุน")</f>
        <v>กำไร</v>
      </c>
      <c r="C44" s="20" t="str">
        <f aca="false">IF(C42&gt;=0,"กำไร","ขาดทุน")</f>
        <v>ขาดทุน</v>
      </c>
      <c r="D44" s="20" t="str">
        <f aca="false">IF(D42&gt;=0,"กำไร","ขาดทุน")</f>
        <v>ขาดทุน</v>
      </c>
      <c r="E44" s="20" t="str">
        <f aca="false">IF(E42&gt;=0,"กำไร","ขาดทุน")</f>
        <v>กำไร</v>
      </c>
      <c r="F44" s="20" t="str">
        <f aca="false">IF(F42&gt;=0,"กำไร","ขาดทุน")</f>
        <v>กำไร</v>
      </c>
      <c r="G44" s="20" t="str">
        <f aca="false">IF(G42&gt;=0,"กำไร","ขาดทุน")</f>
        <v>กำไร</v>
      </c>
      <c r="H44" s="20" t="str">
        <f aca="false">IF(H42&gt;=0,"กำไร","ขาดทุน")</f>
        <v>กำไร</v>
      </c>
    </row>
    <row r="45" customFormat="false" ht="15" hidden="false" customHeight="false" outlineLevel="0" collapsed="false">
      <c r="A45" s="6" t="s">
        <v>43</v>
      </c>
      <c r="B45" s="13" t="n">
        <f aca="false">IF(B6=0,0,B37/B6)</f>
        <v>23369.2558</v>
      </c>
      <c r="C45" s="13" t="n">
        <f aca="false">IF(C6=0,0,C37/C6)</f>
        <v>58563.3891333333</v>
      </c>
      <c r="D45" s="13" t="n">
        <f aca="false">IF(D6=0,0,D37/D6)</f>
        <v>37672.4558</v>
      </c>
      <c r="E45" s="13" t="n">
        <f aca="false">IF(E6=0,0,E37/E6)</f>
        <v>23369.2558</v>
      </c>
      <c r="F45" s="13" t="n">
        <f aca="false">IF(F6=0,0,F37/F6)</f>
        <v>20241.5224666667</v>
      </c>
      <c r="G45" s="13" t="n">
        <f aca="false">IF(G6=0,0,G37/G6)</f>
        <v>17527.6558</v>
      </c>
      <c r="H45" s="13" t="n">
        <f aca="false">IF(H6=0,0,H37/H6)</f>
        <v>16059.3358</v>
      </c>
    </row>
    <row r="46" customFormat="false" ht="15" hidden="false" customHeight="false" outlineLevel="0" collapsed="false">
      <c r="A46" s="6" t="s">
        <v>44</v>
      </c>
      <c r="B46" s="21" t="n">
        <f aca="false">IF(B42&lt;=0,"ยังไม่คืนทุน",IF(ตั้งค่า!$B$42/B42&gt;240,"เกิน 20 ปี",ตั้งค่า!$B$42/B42))</f>
        <v>172.325348603841</v>
      </c>
      <c r="C46" s="21" t="str">
        <f aca="false">IF(C42&lt;=0,"ยังไม่คืนทุน",IF(ตั้งค่า!$B$42/C42&gt;240,"เกิน 20 ปี",ตั้งค่า!$B$42/C42))</f>
        <v>ยังไม่คืนทุน</v>
      </c>
      <c r="D46" s="21" t="str">
        <f aca="false">IF(D42&lt;=0,"ยังไม่คืนทุน",IF(ตั้งค่า!$B$42/D42&gt;240,"เกิน 20 ปี",ตั้งค่า!$B$42/D42))</f>
        <v>ยังไม่คืนทุน</v>
      </c>
      <c r="E46" s="21" t="n">
        <f aca="false">IF(E42&lt;=0,"ยังไม่คืนทุน",IF(ตั้งค่า!$B$42/E42&gt;240,"เกิน 20 ปี",ตั้งค่า!$B$42/E42))</f>
        <v>172.325348603841</v>
      </c>
      <c r="F46" s="21" t="n">
        <f aca="false">IF(F42&lt;=0,"ยังไม่คืนทุน",IF(ตั้งค่า!$B$42/F42&gt;240,"เกิน 20 ปี",ตั้งค่า!$B$42/F42))</f>
        <v>36.4022025778788</v>
      </c>
      <c r="G46" s="21" t="n">
        <f aca="false">IF(G42&lt;=0,"ยังไม่คืนทุน",IF(ตั้งค่า!$B$42/G42&gt;240,"เกิน 20 ปี",ตั้งค่า!$B$42/G42))</f>
        <v>17.1412643961595</v>
      </c>
      <c r="H46" s="21" t="n">
        <f aca="false">IF(H42&lt;=0,"ยังไม่คืนทุน",IF(ตั้งค่า!$B$42/H42&gt;240,"เกิน 20 ปี",ตั้งค่า!$B$42/H42))</f>
        <v>11.4146596327708</v>
      </c>
    </row>
    <row r="47" customFormat="false" ht="15" hidden="false" customHeight="false" outlineLevel="0" collapsed="false">
      <c r="A47" s="6" t="s">
        <v>45</v>
      </c>
      <c r="B47" s="21" t="n">
        <f aca="false">IF(B42&lt;=0,"ยังไม่คืนทุน",IF(ตั้งค่า!$B$42/B42&gt;240,"เกิน 20 ปี",ตั้งค่า!$B$42/B42/12))</f>
        <v>14.3604457169867</v>
      </c>
      <c r="C47" s="21" t="str">
        <f aca="false">IF(C42&lt;=0,"ยังไม่คืนทุน",IF(ตั้งค่า!$B$42/C42&gt;240,"เกิน 20 ปี",ตั้งค่า!$B$42/C42/12))</f>
        <v>ยังไม่คืนทุน</v>
      </c>
      <c r="D47" s="21" t="str">
        <f aca="false">IF(D42&lt;=0,"ยังไม่คืนทุน",IF(ตั้งค่า!$B$42/D42&gt;240,"เกิน 20 ปี",ตั้งค่า!$B$42/D42/12))</f>
        <v>ยังไม่คืนทุน</v>
      </c>
      <c r="E47" s="21" t="n">
        <f aca="false">IF(E42&lt;=0,"ยังไม่คืนทุน",IF(ตั้งค่า!$B$42/E42&gt;240,"เกิน 20 ปี",ตั้งค่า!$B$42/E42/12))</f>
        <v>14.3604457169867</v>
      </c>
      <c r="F47" s="21" t="n">
        <f aca="false">IF(F42&lt;=0,"ยังไม่คืนทุน",IF(ตั้งค่า!$B$42/F42&gt;240,"เกิน 20 ปี",ตั้งค่า!$B$42/F42/12))</f>
        <v>3.0335168814899</v>
      </c>
      <c r="G47" s="21" t="n">
        <f aca="false">IF(G42&lt;=0,"ยังไม่คืนทุน",IF(ตั้งค่า!$B$42/G42&gt;240,"เกิน 20 ปี",ตั้งค่า!$B$42/G42/12))</f>
        <v>1.42843869967996</v>
      </c>
      <c r="H47" s="21" t="n">
        <f aca="false">IF(H42&lt;=0,"ยังไม่คืนทุน",IF(ตั้งค่า!$B$42/H42&gt;240,"เกิน 20 ปี",ตั้งค่า!$B$42/H42/12))</f>
        <v>0.951221636064231</v>
      </c>
    </row>
    <row r="48" customFormat="false" ht="12.65" hidden="false" customHeight="false" outlineLevel="0" collapsed="false">
      <c r="A48" s="6" t="s">
        <v>46</v>
      </c>
      <c r="B48" s="22" t="n">
        <f aca="false">IFERROR(IF((B11+ตั้งค่า!$B$40)*(1-ตั้งค่า!$B$39)-B11*B12-ตั้งค่า!$B$38&lt;=0,"ไม่ถึงจุดคุ้มทุน",B30/((B11+ตั้งค่า!$B$40)*(1-ตั้งค่า!$B$39)-B11*B12-ตั้งค่า!$B$38)),"-")</f>
        <v>9.22145081876976</v>
      </c>
      <c r="C48" s="22" t="n">
        <f aca="false">IFERROR(IF((C11+ตั้งค่า!$B$40)*(1-ตั้งค่า!$B$39)-C11*C12-ตั้งค่า!$B$38&lt;=0,"ไม่ถึงจุดคุ้มทุน",C30/((C11+ตั้งค่า!$B$40)*(1-ตั้งค่า!$B$39)-C11*C12-ตั้งค่า!$B$38)),"-")</f>
        <v>8.43256791549263</v>
      </c>
      <c r="D48" s="22" t="n">
        <f aca="false">IFERROR(IF((D11+ตั้งค่า!$B$40)*(1-ตั้งค่า!$B$39)-D11*D12-ตั้งค่า!$B$38&lt;=0,"ไม่ถึงจุดคุ้มทุน",D30/((D11+ตั้งค่า!$B$40)*(1-ตั้งค่า!$B$39)-D11*D12-ตั้งค่า!$B$38)),"-")</f>
        <v>8.44866756657992</v>
      </c>
      <c r="E48" s="22" t="n">
        <f aca="false">IFERROR(IF((E11+ตั้งค่า!$B$40)*(1-ตั้งค่า!$B$39)-E11*E12-ตั้งค่า!$B$38&lt;=0,"ไม่ถึงจุดคุ้มทุน",E30/((E11+ตั้งค่า!$B$40)*(1-ตั้งค่า!$B$39)-E11*E12-ตั้งค่า!$B$38)),"-")</f>
        <v>9.22145081876976</v>
      </c>
      <c r="F48" s="22" t="n">
        <f aca="false">IFERROR(IF((F11+ตั้งค่า!$B$40)*(1-ตั้งค่า!$B$39)-F11*F12-ตั้งค่า!$B$38&lt;=0,"ไม่ถึงจุดคุ้มทุน",F30/((F11+ตั้งค่า!$B$40)*(1-ตั้งค่า!$B$39)-F11*F12-ตั้งค่า!$B$38)),"-")</f>
        <v>11.3144054601172</v>
      </c>
      <c r="G48" s="22" t="n">
        <f aca="false">IFERROR(IF((G11+ตั้งค่า!$B$40)*(1-ตั้งค่า!$B$39)-G11*G12-ตั้งค่า!$B$38&lt;=0,"ไม่ถึงจุดคุ้มทุน",G30/((G11+ตั้งค่า!$B$40)*(1-ตั้งค่า!$B$39)-G11*G12-ตั้งค่า!$B$38)),"-")</f>
        <v>12.173053518106</v>
      </c>
      <c r="H48" s="22" t="n">
        <f aca="false">IFERROR(IF((H11+ตั้งค่า!$B$40)*(1-ตั้งค่า!$B$39)-H11*H12-ตั้งค่า!$B$38&lt;=0,"ไม่ถึงจุดคุ้มทุน",H30/((H11+ตั้งค่า!$B$40)*(1-ตั้งค่า!$B$39)-H11*H12-ตั้งค่า!$B$38)),"-")</f>
        <v>13.2463635905918</v>
      </c>
    </row>
    <row r="50" customFormat="false" ht="15" hidden="false" customHeight="false" outlineLevel="0" collapsed="false">
      <c r="A50" s="4" t="s">
        <v>47</v>
      </c>
      <c r="B50" s="5"/>
      <c r="C50" s="5"/>
      <c r="D50" s="5"/>
      <c r="E50" s="5"/>
      <c r="F50" s="5"/>
      <c r="G50" s="5"/>
      <c r="H50" s="5"/>
    </row>
    <row r="51" customFormat="false" ht="15" hidden="false" customHeight="false" outlineLevel="0" collapsed="false">
      <c r="A51" s="6" t="s">
        <v>48</v>
      </c>
      <c r="B51" s="10" t="n">
        <f aca="false">ตั้งค่า!$B$42/(ตั้งค่า!$B$43*12)</f>
        <v>33333.3333333333</v>
      </c>
      <c r="C51" s="10" t="n">
        <f aca="false">ตั้งค่า!$B$42/(ตั้งค่า!$B$43*12)</f>
        <v>33333.3333333333</v>
      </c>
      <c r="D51" s="10" t="n">
        <f aca="false">ตั้งค่า!$B$42/(ตั้งค่า!$B$43*12)</f>
        <v>33333.3333333333</v>
      </c>
      <c r="E51" s="10" t="n">
        <f aca="false">ตั้งค่า!$B$42/(ตั้งค่า!$B$43*12)</f>
        <v>33333.3333333333</v>
      </c>
      <c r="F51" s="10" t="n">
        <f aca="false">ตั้งค่า!$B$42/(ตั้งค่า!$B$43*12)</f>
        <v>33333.3333333333</v>
      </c>
      <c r="G51" s="10" t="n">
        <f aca="false">ตั้งค่า!$B$42/(ตั้งค่า!$B$43*12)</f>
        <v>33333.3333333333</v>
      </c>
      <c r="H51" s="10" t="n">
        <f aca="false">ตั้งค่า!$B$42/(ตั้งค่า!$B$43*12)</f>
        <v>33333.3333333333</v>
      </c>
    </row>
    <row r="52" customFormat="false" ht="15" hidden="false" customHeight="false" outlineLevel="0" collapsed="false">
      <c r="A52" s="19" t="s">
        <v>49</v>
      </c>
      <c r="B52" s="23" t="n">
        <f aca="false">IF(B42&gt;=B51,"ถึงเป้าแล้ว",B51-B42)</f>
        <v>21727.3797333334</v>
      </c>
      <c r="C52" s="23" t="n">
        <f aca="false">IF(C42&gt;=C51,"ถึงเป้าแล้ว",C51-C42)</f>
        <v>134563.500733333</v>
      </c>
      <c r="D52" s="23" t="n">
        <f aca="false">IF(D42&gt;=D51,"ถึงเป้าแล้ว",D51-D42)</f>
        <v>97595.6123333334</v>
      </c>
      <c r="E52" s="23" t="n">
        <f aca="false">IF(E42&gt;=E51,"ถึงเป้าแล้ว",E51-E42)</f>
        <v>21727.3797333334</v>
      </c>
      <c r="F52" s="23" t="str">
        <f aca="false">IF(F42&gt;=F51,"ถึงเป้าแล้ว",F51-F42)</f>
        <v>ถึงเป้าแล้ว</v>
      </c>
      <c r="G52" s="23" t="str">
        <f aca="false">IF(G42&gt;=G51,"ถึงเป้าแล้ว",G51-G42)</f>
        <v>ถึงเป้าแล้ว</v>
      </c>
      <c r="H52" s="23" t="str">
        <f aca="false">IF(H42&gt;=H51,"ถึงเป้าแล้ว",H51-H42)</f>
        <v>ถึงเป้าแล้ว</v>
      </c>
    </row>
    <row r="53" customFormat="false" ht="15" hidden="false" customHeight="false" outlineLevel="0" collapsed="false">
      <c r="A53" s="6" t="s">
        <v>50</v>
      </c>
      <c r="B53" s="10" t="n">
        <f aca="false">IFERROR((B51/(1-ตั้งค่า!$B$41)+B30+B6*ตั้งค่า!$B$38-B6*ตั้งค่า!$B$40*(1-ตั้งค่า!$B$39))/(B6*(1-ตั้งค่า!$B$39-B12)),"-")</f>
        <v>27733.8652293744</v>
      </c>
      <c r="C53" s="10" t="n">
        <f aca="false">IFERROR((C51/(1-ตั้งค่า!$B$41)+C30+C6*ตั้งค่า!$B$38-C6*ตั้งค่า!$B$40*(1-ตั้งค่า!$B$39))/(C6*(1-ตั้งค่า!$B$39-C12)),"-")</f>
        <v>75923.8295195488</v>
      </c>
      <c r="D53" s="10" t="n">
        <f aca="false">IFERROR((D51/(1-ตั้งค่า!$B$41)+D30+D6*ตั้งค่า!$B$38-D6*ตั้งค่า!$B$40*(1-ตั้งค่า!$B$39))/(D6*(1-ตั้งค่า!$B$39-D12)),"-")</f>
        <v>47549.8588491163</v>
      </c>
      <c r="E53" s="10" t="n">
        <f aca="false">IFERROR((E51/(1-ตั้งค่า!$B$41)+E30+E6*ตั้งค่า!$B$38-E6*ตั้งค่า!$B$40*(1-ตั้งค่า!$B$39))/(E6*(1-ตั้งค่า!$B$39-E12)),"-")</f>
        <v>27733.8652293744</v>
      </c>
      <c r="F53" s="10" t="n">
        <f aca="false">IFERROR((F51/(1-ตั้งค่า!$B$41)+F30+F6*ตั้งค่า!$B$38-F6*ตั้งค่า!$B$40*(1-ตั้งค่า!$B$39))/(F6*(1-ตั้งค่า!$B$39-F12)),"-")</f>
        <v>22888.0610471565</v>
      </c>
      <c r="G53" s="10" t="n">
        <f aca="false">IFERROR((G51/(1-ตั้งค่า!$B$41)+G30+G6*ตั้งค่า!$B$38-G6*ตั้งค่า!$B$40*(1-ตั้งค่า!$B$39))/(G6*(1-ตั้งค่า!$B$39-G12)),"-")</f>
        <v>19231.3442743297</v>
      </c>
      <c r="H53" s="10" t="n">
        <f aca="false">IFERROR((H51/(1-ตั้งค่า!$B$41)+H30+H6*ตั้งค่า!$B$38-H6*ตั้งค่า!$B$40*(1-ตั้งค่า!$B$39))/(H6*(1-ตั้งค่า!$B$39-H12)),"-")</f>
        <v>17208.9753837422</v>
      </c>
    </row>
    <row r="54" customFormat="false" ht="15" hidden="false" customHeight="false" outlineLevel="0" collapsed="false">
      <c r="A54" s="6" t="s">
        <v>51</v>
      </c>
      <c r="B54" s="24" t="n">
        <f aca="false">IFERROR(IF(B53&lt;=B11,"ไม่ต้องขึ้น",B53-B11),"-")</f>
        <v>2913.86522937436</v>
      </c>
      <c r="C54" s="24" t="n">
        <f aca="false">IFERROR(IF(C53&lt;=C11,"ไม่ต้องขึ้น",C53-C11),"-")</f>
        <v>51103.8295195488</v>
      </c>
      <c r="D54" s="24" t="n">
        <f aca="false">IFERROR(IF(D53&lt;=D11,"ไม่ต้องขึ้น",D53-D11),"-")</f>
        <v>22729.8588491163</v>
      </c>
      <c r="E54" s="24" t="n">
        <f aca="false">IFERROR(IF(E53&lt;=E11,"ไม่ต้องขึ้น",E53-E11),"-")</f>
        <v>2913.86522937436</v>
      </c>
      <c r="F54" s="24" t="str">
        <f aca="false">IFERROR(IF(F53&lt;=F11,"ไม่ต้องขึ้น",F53-F11),"-")</f>
        <v>ไม่ต้องขึ้น</v>
      </c>
      <c r="G54" s="24" t="str">
        <f aca="false">IFERROR(IF(G53&lt;=G11,"ไม่ต้องขึ้น",G53-G11),"-")</f>
        <v>ไม่ต้องขึ้น</v>
      </c>
      <c r="H54" s="24" t="str">
        <f aca="false">IFERROR(IF(H53&lt;=H11,"ไม่ต้องขึ้น",H53-H11),"-")</f>
        <v>ไม่ต้องขึ้น</v>
      </c>
    </row>
    <row r="55" customFormat="false" ht="12.65" hidden="false" customHeight="false" outlineLevel="0" collapsed="false">
      <c r="A55" s="6" t="s">
        <v>52</v>
      </c>
      <c r="B55" s="25" t="n">
        <f aca="false">IFERROR(IF((B11+ตั้งค่า!$B$40)*(1-ตั้งค่า!$B$39)-B11*B12-ตั้งค่า!$B$38&lt;=0,"-",ROUNDUP((B51/(1-ตั้งค่า!$B$41)+B30)/((B11+ตั้งค่า!$B$40)*(1-ตั้งค่า!$B$39)-B11*B12-ตั้งค่า!$B$38),0)),"-")</f>
        <v>12</v>
      </c>
      <c r="C55" s="25" t="n">
        <f aca="false">IFERROR(IF((C11+ตั้งค่า!$B$40)*(1-ตั้งค่า!$B$39)-C11*C12-ตั้งค่า!$B$38&lt;=0,"-",ROUNDUP((C51/(1-ตั้งค่า!$B$41)+C30)/((C11+ตั้งค่า!$B$40)*(1-ตั้งค่า!$B$39)-C11*C12-ตั้งค่า!$B$38),0)),"-")</f>
        <v>11</v>
      </c>
      <c r="D55" s="25" t="n">
        <f aca="false">IFERROR(IF((D11+ตั้งค่า!$B$40)*(1-ตั้งค่า!$B$39)-D11*D12-ตั้งค่า!$B$38&lt;=0,"-",ROUNDUP((D51/(1-ตั้งค่า!$B$41)+D30)/((D11+ตั้งค่า!$B$40)*(1-ตั้งค่า!$B$39)-D11*D12-ตั้งค่า!$B$38),0)),"-")</f>
        <v>11</v>
      </c>
      <c r="E55" s="25" t="n">
        <f aca="false">IFERROR(IF((E11+ตั้งค่า!$B$40)*(1-ตั้งค่า!$B$39)-E11*E12-ตั้งค่า!$B$38&lt;=0,"-",ROUNDUP((E51/(1-ตั้งค่า!$B$41)+E30)/((E11+ตั้งค่า!$B$40)*(1-ตั้งค่า!$B$39)-E11*E12-ตั้งค่า!$B$38),0)),"-")</f>
        <v>12</v>
      </c>
      <c r="F55" s="25" t="n">
        <f aca="false">IFERROR(IF((F11+ตั้งค่า!$B$40)*(1-ตั้งค่า!$B$39)-F11*F12-ตั้งค่า!$B$38&lt;=0,"-",ROUNDUP((F51/(1-ตั้งค่า!$B$41)+F30)/((F11+ตั้งค่า!$B$40)*(1-ตั้งค่า!$B$39)-F11*F12-ตั้งค่า!$B$38),0)),"-")</f>
        <v>14</v>
      </c>
      <c r="G55" s="25" t="n">
        <f aca="false">IFERROR(IF((G11+ตั้งค่า!$B$40)*(1-ตั้งค่า!$B$39)-G11*G12-ตั้งค่า!$B$38&lt;=0,"-",ROUNDUP((G51/(1-ตั้งค่า!$B$41)+G30)/((G11+ตั้งค่า!$B$40)*(1-ตั้งค่า!$B$39)-G11*G12-ตั้งค่า!$B$38),0)),"-")</f>
        <v>15</v>
      </c>
      <c r="H55" s="25" t="n">
        <f aca="false">IFERROR(IF((H11+ตั้งค่า!$B$40)*(1-ตั้งค่า!$B$39)-H11*H12-ตั้งค่า!$B$38&lt;=0,"-",ROUNDUP((H51/(1-ตั้งค่า!$B$41)+H30)/((H11+ตั้งค่า!$B$40)*(1-ตั้งค่า!$B$39)-H11*H12-ตั้งค่า!$B$38),0)),"-")</f>
        <v>16</v>
      </c>
    </row>
    <row r="57" customFormat="false" ht="15" hidden="false" customHeight="false" outlineLevel="0" collapsed="false">
      <c r="A57" s="26" t="s">
        <v>53</v>
      </c>
    </row>
    <row r="58" customFormat="false" ht="15" hidden="false" customHeight="false" outlineLevel="0" collapsed="false">
      <c r="A58" s="27" t="s">
        <v>54</v>
      </c>
    </row>
    <row r="59" customFormat="false" ht="15" hidden="false" customHeight="false" outlineLevel="0" collapsed="false">
      <c r="A59" s="27" t="s">
        <v>55</v>
      </c>
    </row>
    <row r="60" customFormat="false" ht="15" hidden="false" customHeight="false" outlineLevel="0" collapsed="false">
      <c r="A60" s="27" t="s">
        <v>56</v>
      </c>
    </row>
    <row r="61" customFormat="false" ht="15" hidden="false" customHeight="false" outlineLevel="0" collapsed="false">
      <c r="A61" s="27" t="s">
        <v>57</v>
      </c>
    </row>
    <row r="62" customFormat="false" ht="15" hidden="false" customHeight="false" outlineLevel="0" collapsed="false">
      <c r="A62" s="27" t="s">
        <v>58</v>
      </c>
    </row>
  </sheetData>
  <conditionalFormatting sqref="B44:H44">
    <cfRule type="cellIs" priority="2" operator="equal" aboveAverage="0" equalAverage="0" bottom="0" percent="0" rank="0" text="" dxfId="0">
      <formula>"ขาดทุน"</formula>
    </cfRule>
    <cfRule type="cellIs" priority="3" operator="equal" aboveAverage="0" equalAverage="0" bottom="0" percent="0" rank="0" text="" dxfId="1">
      <formula>"กำไร"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5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44"/>
  </cols>
  <sheetData>
    <row r="1" customFormat="false" ht="17.9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26" t="s">
        <v>61</v>
      </c>
    </row>
    <row r="5" customFormat="false" ht="33.75" hidden="false" customHeight="true" outlineLevel="0" collapsed="false">
      <c r="A5" s="3" t="s">
        <v>62</v>
      </c>
      <c r="B5" s="3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  <c r="H5" s="3" t="s">
        <v>69</v>
      </c>
    </row>
    <row r="6" customFormat="false" ht="15" hidden="false" customHeight="false" outlineLevel="0" collapsed="false">
      <c r="A6" s="28" t="s">
        <v>70</v>
      </c>
      <c r="B6" s="8" t="n">
        <v>2</v>
      </c>
      <c r="C6" s="8" t="n">
        <v>1</v>
      </c>
      <c r="D6" s="29" t="n">
        <f aca="false">B6*C6</f>
        <v>2</v>
      </c>
      <c r="E6" s="8" t="n">
        <v>1</v>
      </c>
      <c r="F6" s="9" t="n">
        <v>20000</v>
      </c>
      <c r="G6" s="13" t="n">
        <f aca="false">B6*E6*F6</f>
        <v>40000</v>
      </c>
      <c r="H6" s="9" t="n">
        <v>32000</v>
      </c>
      <c r="I6" s="2" t="s">
        <v>71</v>
      </c>
    </row>
    <row r="7" customFormat="false" ht="15" hidden="false" customHeight="false" outlineLevel="0" collapsed="false">
      <c r="A7" s="28" t="s">
        <v>72</v>
      </c>
      <c r="B7" s="8" t="n">
        <v>1</v>
      </c>
      <c r="C7" s="8" t="n">
        <v>4</v>
      </c>
      <c r="D7" s="29" t="n">
        <f aca="false">B7*C7</f>
        <v>4</v>
      </c>
      <c r="E7" s="8" t="n">
        <v>1</v>
      </c>
      <c r="F7" s="9" t="n">
        <v>40000</v>
      </c>
      <c r="G7" s="13" t="n">
        <f aca="false">B7*E7*F7</f>
        <v>40000</v>
      </c>
      <c r="H7" s="10" t="n">
        <f aca="false">ตั้งค่า!$D$7</f>
        <v>25500</v>
      </c>
      <c r="I7" s="2" t="s">
        <v>73</v>
      </c>
    </row>
    <row r="8" customFormat="false" ht="15" hidden="false" customHeight="false" outlineLevel="0" collapsed="false">
      <c r="A8" s="28" t="s">
        <v>74</v>
      </c>
      <c r="B8" s="8" t="n">
        <v>1</v>
      </c>
      <c r="C8" s="8" t="n">
        <v>6</v>
      </c>
      <c r="D8" s="29" t="n">
        <f aca="false">B8*C8</f>
        <v>6</v>
      </c>
      <c r="E8" s="8" t="n">
        <v>2</v>
      </c>
      <c r="F8" s="9" t="n">
        <v>30000</v>
      </c>
      <c r="G8" s="13" t="n">
        <f aca="false">B8*E8*F8</f>
        <v>60000</v>
      </c>
      <c r="H8" s="10" t="n">
        <f aca="false">ตั้งค่า!$C$7</f>
        <v>23500</v>
      </c>
      <c r="I8" s="2" t="s">
        <v>75</v>
      </c>
    </row>
    <row r="9" customFormat="false" ht="15" hidden="false" customHeight="false" outlineLevel="0" collapsed="false">
      <c r="A9" s="30" t="s">
        <v>76</v>
      </c>
      <c r="B9" s="31" t="n">
        <f aca="false">SUM(B6:B8)</f>
        <v>4</v>
      </c>
      <c r="C9" s="32"/>
      <c r="D9" s="33" t="n">
        <f aca="false">SUM(D6:D8)</f>
        <v>12</v>
      </c>
      <c r="E9" s="34" t="n">
        <f aca="false">SUMPRODUCT(B6:B8,E6:E8)</f>
        <v>5</v>
      </c>
      <c r="F9" s="32"/>
      <c r="G9" s="15" t="n">
        <f aca="false">SUM(G6:G8)</f>
        <v>140000</v>
      </c>
      <c r="H9" s="15" t="n">
        <f aca="false">IF(D9=0,0,SUMPRODUCT(D6:D8,H6:H8)/D9)</f>
        <v>25583.3333333333</v>
      </c>
      <c r="I9" s="2" t="s">
        <v>77</v>
      </c>
    </row>
    <row r="11" customFormat="false" ht="15" hidden="false" customHeight="false" outlineLevel="0" collapsed="false">
      <c r="A11" s="26" t="s">
        <v>78</v>
      </c>
    </row>
    <row r="12" customFormat="false" ht="33.75" hidden="false" customHeight="true" outlineLevel="0" collapsed="false">
      <c r="A12" s="3" t="s">
        <v>79</v>
      </c>
      <c r="B12" s="3" t="s">
        <v>80</v>
      </c>
      <c r="C12" s="3" t="s">
        <v>81</v>
      </c>
      <c r="D12" s="3" t="s">
        <v>82</v>
      </c>
    </row>
    <row r="13" customFormat="false" ht="15" hidden="false" customHeight="false" outlineLevel="0" collapsed="false">
      <c r="A13" s="35" t="s">
        <v>83</v>
      </c>
      <c r="B13" s="9" t="n">
        <v>30000</v>
      </c>
      <c r="C13" s="29" t="n">
        <f aca="false">$D$9</f>
        <v>12</v>
      </c>
      <c r="D13" s="13" t="n">
        <f aca="false">B13*C13</f>
        <v>360000</v>
      </c>
      <c r="E13" s="2" t="s">
        <v>84</v>
      </c>
    </row>
    <row r="14" customFormat="false" ht="15" hidden="false" customHeight="false" outlineLevel="0" collapsed="false">
      <c r="A14" s="35" t="s">
        <v>85</v>
      </c>
      <c r="B14" s="9" t="n">
        <v>5000</v>
      </c>
      <c r="C14" s="29" t="n">
        <f aca="false">$D$9</f>
        <v>12</v>
      </c>
      <c r="D14" s="13" t="n">
        <f aca="false">B14*C14</f>
        <v>60000</v>
      </c>
      <c r="E14" s="2" t="s">
        <v>86</v>
      </c>
    </row>
    <row r="15" customFormat="false" ht="15" hidden="false" customHeight="false" outlineLevel="0" collapsed="false">
      <c r="A15" s="35" t="s">
        <v>87</v>
      </c>
      <c r="B15" s="9" t="n">
        <v>6000</v>
      </c>
      <c r="C15" s="29" t="n">
        <f aca="false">$D$9</f>
        <v>12</v>
      </c>
      <c r="D15" s="13" t="n">
        <f aca="false">B15*C15</f>
        <v>72000</v>
      </c>
    </row>
    <row r="16" customFormat="false" ht="15" hidden="false" customHeight="false" outlineLevel="0" collapsed="false">
      <c r="A16" s="35" t="s">
        <v>88</v>
      </c>
      <c r="B16" s="35"/>
      <c r="C16" s="29" t="n">
        <f aca="false">$E$9</f>
        <v>5</v>
      </c>
      <c r="D16" s="13" t="n">
        <f aca="false">$G$9</f>
        <v>140000</v>
      </c>
    </row>
    <row r="17" customFormat="false" ht="15" hidden="false" customHeight="false" outlineLevel="0" collapsed="false">
      <c r="A17" s="35" t="s">
        <v>89</v>
      </c>
      <c r="B17" s="9" t="n">
        <v>1200000</v>
      </c>
      <c r="C17" s="8" t="n">
        <v>1</v>
      </c>
      <c r="D17" s="13" t="n">
        <f aca="false">B17*C17</f>
        <v>1200000</v>
      </c>
      <c r="E17" s="2" t="s">
        <v>90</v>
      </c>
    </row>
    <row r="18" customFormat="false" ht="15" hidden="false" customHeight="false" outlineLevel="0" collapsed="false">
      <c r="A18" s="35" t="s">
        <v>91</v>
      </c>
      <c r="B18" s="9" t="n">
        <v>0</v>
      </c>
      <c r="C18" s="8" t="n">
        <v>1</v>
      </c>
      <c r="D18" s="13" t="n">
        <f aca="false">B18*C18</f>
        <v>0</v>
      </c>
      <c r="E18" s="2" t="s">
        <v>92</v>
      </c>
    </row>
    <row r="19" customFormat="false" ht="15" hidden="false" customHeight="false" outlineLevel="0" collapsed="false">
      <c r="A19" s="35" t="s">
        <v>93</v>
      </c>
      <c r="B19" s="9" t="n">
        <v>0</v>
      </c>
      <c r="C19" s="8" t="n">
        <v>1</v>
      </c>
      <c r="D19" s="13" t="n">
        <f aca="false">B19*C19</f>
        <v>0</v>
      </c>
      <c r="E19" s="2" t="s">
        <v>92</v>
      </c>
    </row>
    <row r="20" customFormat="false" ht="15" hidden="false" customHeight="false" outlineLevel="0" collapsed="false">
      <c r="A20" s="35" t="s">
        <v>94</v>
      </c>
      <c r="B20" s="36" t="n">
        <v>0.1</v>
      </c>
      <c r="C20" s="35"/>
      <c r="D20" s="13" t="n">
        <f aca="false">B20*SUM(D13:D19)</f>
        <v>183200</v>
      </c>
      <c r="E20" s="2" t="s">
        <v>95</v>
      </c>
    </row>
    <row r="21" customFormat="false" ht="15" hidden="false" customHeight="false" outlineLevel="0" collapsed="false">
      <c r="A21" s="30" t="s">
        <v>96</v>
      </c>
      <c r="B21" s="32"/>
      <c r="C21" s="32"/>
      <c r="D21" s="15" t="n">
        <f aca="false">SUM(D13:D20)</f>
        <v>2015200</v>
      </c>
    </row>
    <row r="23" customFormat="false" ht="15" hidden="false" customHeight="false" outlineLevel="0" collapsed="false">
      <c r="A23" s="26" t="s">
        <v>97</v>
      </c>
    </row>
    <row r="24" customFormat="false" ht="15" hidden="false" customHeight="false" outlineLevel="0" collapsed="false">
      <c r="A24" s="35" t="s">
        <v>98</v>
      </c>
      <c r="B24" s="9" t="n">
        <v>2500</v>
      </c>
      <c r="C24" s="2" t="s">
        <v>99</v>
      </c>
    </row>
    <row r="25" customFormat="false" ht="15" hidden="false" customHeight="false" outlineLevel="0" collapsed="false">
      <c r="A25" s="35" t="s">
        <v>100</v>
      </c>
      <c r="B25" s="10" t="n">
        <f aca="false">IF(จ่ายรายคน!$D$19=0,0,จ่ายรายคน!$I$15/จ่ายรายคน!$D$19)</f>
        <v>1400</v>
      </c>
      <c r="C25" s="2" t="s">
        <v>101</v>
      </c>
    </row>
    <row r="26" customFormat="false" ht="15" hidden="false" customHeight="false" outlineLevel="0" collapsed="false">
      <c r="A26" s="37" t="s">
        <v>102</v>
      </c>
      <c r="B26" s="38" t="n">
        <f aca="false">H9+B25</f>
        <v>26983.3333333333</v>
      </c>
    </row>
    <row r="28" customFormat="false" ht="33.75" hidden="false" customHeight="true" outlineLevel="0" collapsed="false">
      <c r="A28" s="3" t="s">
        <v>2</v>
      </c>
      <c r="B28" s="3" t="s">
        <v>103</v>
      </c>
      <c r="C28" s="3" t="s">
        <v>104</v>
      </c>
      <c r="D28" s="3" t="s">
        <v>105</v>
      </c>
      <c r="E28" s="3" t="s">
        <v>106</v>
      </c>
      <c r="F28" s="3" t="s">
        <v>107</v>
      </c>
    </row>
    <row r="29" customFormat="false" ht="15" hidden="false" customHeight="false" outlineLevel="0" collapsed="false">
      <c r="A29" s="4" t="s">
        <v>10</v>
      </c>
      <c r="B29" s="5"/>
      <c r="C29" s="5"/>
      <c r="D29" s="5"/>
      <c r="E29" s="5"/>
      <c r="F29" s="5"/>
    </row>
    <row r="30" customFormat="false" ht="15" hidden="false" customHeight="false" outlineLevel="0" collapsed="false">
      <c r="A30" s="6" t="s">
        <v>108</v>
      </c>
      <c r="B30" s="7" t="n">
        <f aca="false">สรุปกำไร!$B$6</f>
        <v>10</v>
      </c>
      <c r="C30" s="7" t="n">
        <f aca="false">สรุปกำไร!$B$6</f>
        <v>10</v>
      </c>
      <c r="D30" s="7" t="n">
        <f aca="false">สรุปกำไร!$B$6</f>
        <v>10</v>
      </c>
      <c r="E30" s="7" t="n">
        <f aca="false">สรุปกำไร!$B$6</f>
        <v>10</v>
      </c>
      <c r="F30" s="7" t="n">
        <f aca="false">สรุปกำไร!$B$6</f>
        <v>10</v>
      </c>
    </row>
    <row r="31" customFormat="false" ht="15" hidden="false" customHeight="false" outlineLevel="0" collapsed="false">
      <c r="A31" s="6" t="s">
        <v>109</v>
      </c>
      <c r="B31" s="8" t="n">
        <v>0</v>
      </c>
      <c r="C31" s="8" t="n">
        <v>3</v>
      </c>
      <c r="D31" s="8" t="n">
        <v>6</v>
      </c>
      <c r="E31" s="8" t="n">
        <v>9</v>
      </c>
      <c r="F31" s="8" t="n">
        <v>12</v>
      </c>
    </row>
    <row r="32" customFormat="false" ht="15" hidden="false" customHeight="false" outlineLevel="0" collapsed="false">
      <c r="A32" s="19" t="s">
        <v>110</v>
      </c>
      <c r="B32" s="39" t="n">
        <f aca="false">B30+B31</f>
        <v>10</v>
      </c>
      <c r="C32" s="39" t="n">
        <f aca="false">C30+C31</f>
        <v>13</v>
      </c>
      <c r="D32" s="39" t="n">
        <f aca="false">D30+D31</f>
        <v>16</v>
      </c>
      <c r="E32" s="39" t="n">
        <f aca="false">E30+E31</f>
        <v>19</v>
      </c>
      <c r="F32" s="39" t="n">
        <f aca="false">F30+F31</f>
        <v>22</v>
      </c>
    </row>
    <row r="33" customFormat="false" ht="15" hidden="false" customHeight="false" outlineLevel="0" collapsed="false">
      <c r="A33" s="6" t="s">
        <v>111</v>
      </c>
      <c r="B33" s="8" t="n">
        <v>0</v>
      </c>
      <c r="C33" s="8" t="n">
        <v>1</v>
      </c>
      <c r="D33" s="8" t="n">
        <v>2</v>
      </c>
      <c r="E33" s="8" t="n">
        <v>3</v>
      </c>
      <c r="F33" s="8" t="n">
        <v>4</v>
      </c>
    </row>
    <row r="34" customFormat="false" ht="15" hidden="false" customHeight="false" outlineLevel="0" collapsed="false">
      <c r="A34" s="6" t="s">
        <v>112</v>
      </c>
      <c r="B34" s="9" t="n">
        <v>0</v>
      </c>
      <c r="C34" s="9" t="n">
        <v>6000</v>
      </c>
      <c r="D34" s="9" t="n">
        <v>8000</v>
      </c>
      <c r="E34" s="9" t="n">
        <v>10000</v>
      </c>
      <c r="F34" s="9" t="n">
        <v>12000</v>
      </c>
    </row>
    <row r="35" customFormat="false" ht="15" hidden="false" customHeight="false" outlineLevel="0" collapsed="false">
      <c r="A35" s="6" t="s">
        <v>113</v>
      </c>
      <c r="B35" s="9" t="n">
        <v>0</v>
      </c>
      <c r="C35" s="9" t="n">
        <v>300</v>
      </c>
      <c r="D35" s="9" t="n">
        <v>600</v>
      </c>
      <c r="E35" s="9" t="n">
        <v>900</v>
      </c>
      <c r="F35" s="9" t="n">
        <v>1200</v>
      </c>
    </row>
    <row r="36" customFormat="false" ht="15" hidden="false" customHeight="false" outlineLevel="0" collapsed="false">
      <c r="A36" s="6" t="s">
        <v>114</v>
      </c>
      <c r="B36" s="10" t="n">
        <f aca="false">สรุปกำไร!$B$10</f>
        <v>20000</v>
      </c>
      <c r="C36" s="9" t="n">
        <v>20000</v>
      </c>
      <c r="D36" s="9" t="n">
        <v>20000</v>
      </c>
      <c r="E36" s="9" t="n">
        <v>20000</v>
      </c>
      <c r="F36" s="9" t="n">
        <v>0</v>
      </c>
    </row>
    <row r="38" customFormat="false" ht="15" hidden="false" customHeight="false" outlineLevel="0" collapsed="false">
      <c r="A38" s="4" t="s">
        <v>18</v>
      </c>
      <c r="B38" s="5"/>
      <c r="C38" s="5"/>
      <c r="D38" s="5"/>
      <c r="E38" s="5"/>
      <c r="F38" s="5"/>
    </row>
    <row r="39" customFormat="false" ht="15" hidden="false" customHeight="false" outlineLevel="0" collapsed="false">
      <c r="A39" s="6" t="s">
        <v>115</v>
      </c>
      <c r="B39" s="10" t="n">
        <f aca="false">สรุปกำไร!$B$17</f>
        <v>248200</v>
      </c>
      <c r="C39" s="10" t="n">
        <f aca="false">สรุปกำไร!$B$17</f>
        <v>248200</v>
      </c>
      <c r="D39" s="10" t="n">
        <f aca="false">สรุปกำไร!$B$17</f>
        <v>248200</v>
      </c>
      <c r="E39" s="10" t="n">
        <f aca="false">สรุปกำไร!$B$17</f>
        <v>248200</v>
      </c>
      <c r="F39" s="10" t="n">
        <f aca="false">สรุปกำไร!$B$17</f>
        <v>248200</v>
      </c>
    </row>
    <row r="40" customFormat="false" ht="15" hidden="false" customHeight="false" outlineLevel="0" collapsed="false">
      <c r="A40" s="6" t="s">
        <v>116</v>
      </c>
      <c r="B40" s="13" t="n">
        <f aca="false">B31*$B$26</f>
        <v>0</v>
      </c>
      <c r="C40" s="13" t="n">
        <f aca="false">C31*$B$26</f>
        <v>80950</v>
      </c>
      <c r="D40" s="13" t="n">
        <f aca="false">D31*$B$26</f>
        <v>161900</v>
      </c>
      <c r="E40" s="13" t="n">
        <f aca="false">E31*$B$26</f>
        <v>242850</v>
      </c>
      <c r="F40" s="13" t="n">
        <f aca="false">F31*$B$26</f>
        <v>323800</v>
      </c>
    </row>
    <row r="41" customFormat="false" ht="15" hidden="false" customHeight="false" outlineLevel="0" collapsed="false">
      <c r="A41" s="14" t="s">
        <v>21</v>
      </c>
      <c r="B41" s="15" t="n">
        <f aca="false">B39+B40</f>
        <v>248200</v>
      </c>
      <c r="C41" s="15" t="n">
        <f aca="false">C39+C40</f>
        <v>329150</v>
      </c>
      <c r="D41" s="15" t="n">
        <f aca="false">D39+D40</f>
        <v>410100</v>
      </c>
      <c r="E41" s="15" t="n">
        <f aca="false">E39+E40</f>
        <v>491050</v>
      </c>
      <c r="F41" s="15" t="n">
        <f aca="false">F39+F40</f>
        <v>572000</v>
      </c>
    </row>
    <row r="43" customFormat="false" ht="15" hidden="false" customHeight="false" outlineLevel="0" collapsed="false">
      <c r="A43" s="4" t="s">
        <v>117</v>
      </c>
      <c r="B43" s="5"/>
      <c r="C43" s="5"/>
      <c r="D43" s="5"/>
      <c r="E43" s="5"/>
      <c r="F43" s="5"/>
    </row>
    <row r="44" customFormat="false" ht="15" hidden="false" customHeight="false" outlineLevel="0" collapsed="false">
      <c r="A44" s="6" t="s">
        <v>118</v>
      </c>
      <c r="B44" s="10" t="n">
        <f aca="false">สรุปกำไร!$B$37-สรุปกำไร!$B$10</f>
        <v>213692.558</v>
      </c>
      <c r="C44" s="10" t="n">
        <f aca="false">สรุปกำไร!$B$37-สรุปกำไร!$B$10</f>
        <v>213692.558</v>
      </c>
      <c r="D44" s="10" t="n">
        <f aca="false">สรุปกำไร!$B$37-สรุปกำไร!$B$10</f>
        <v>213692.558</v>
      </c>
      <c r="E44" s="10" t="n">
        <f aca="false">สรุปกำไร!$B$37-สรุปกำไร!$B$10</f>
        <v>213692.558</v>
      </c>
      <c r="F44" s="10" t="n">
        <f aca="false">สรุปกำไร!$B$37-สรุปกำไร!$B$10</f>
        <v>213692.558</v>
      </c>
    </row>
    <row r="45" customFormat="false" ht="15" hidden="false" customHeight="false" outlineLevel="0" collapsed="false">
      <c r="A45" s="6" t="s">
        <v>119</v>
      </c>
      <c r="B45" s="10" t="n">
        <f aca="false">B33*ตั้งค่า!$B$37</f>
        <v>0</v>
      </c>
      <c r="C45" s="10" t="n">
        <f aca="false">C33*ตั้งค่า!$B$37</f>
        <v>15000</v>
      </c>
      <c r="D45" s="10" t="n">
        <f aca="false">D33*ตั้งค่า!$B$37</f>
        <v>30000</v>
      </c>
      <c r="E45" s="10" t="n">
        <f aca="false">E33*ตั้งค่า!$B$37</f>
        <v>45000</v>
      </c>
      <c r="F45" s="10" t="n">
        <f aca="false">F33*ตั้งค่า!$B$37</f>
        <v>60000</v>
      </c>
    </row>
    <row r="46" customFormat="false" ht="15" hidden="false" customHeight="false" outlineLevel="0" collapsed="false">
      <c r="A46" s="6" t="s">
        <v>120</v>
      </c>
      <c r="B46" s="13" t="n">
        <f aca="false">B34</f>
        <v>0</v>
      </c>
      <c r="C46" s="13" t="n">
        <f aca="false">C34</f>
        <v>6000</v>
      </c>
      <c r="D46" s="13" t="n">
        <f aca="false">D34</f>
        <v>8000</v>
      </c>
      <c r="E46" s="13" t="n">
        <f aca="false">E34</f>
        <v>10000</v>
      </c>
      <c r="F46" s="13" t="n">
        <f aca="false">F34</f>
        <v>12000</v>
      </c>
    </row>
    <row r="47" customFormat="false" ht="15" hidden="false" customHeight="false" outlineLevel="0" collapsed="false">
      <c r="A47" s="6" t="s">
        <v>113</v>
      </c>
      <c r="B47" s="13" t="n">
        <f aca="false">B35</f>
        <v>0</v>
      </c>
      <c r="C47" s="13" t="n">
        <f aca="false">C35</f>
        <v>300</v>
      </c>
      <c r="D47" s="13" t="n">
        <f aca="false">D35</f>
        <v>600</v>
      </c>
      <c r="E47" s="13" t="n">
        <f aca="false">E35</f>
        <v>900</v>
      </c>
      <c r="F47" s="13" t="n">
        <f aca="false">F35</f>
        <v>1200</v>
      </c>
    </row>
    <row r="48" customFormat="false" ht="15" hidden="false" customHeight="false" outlineLevel="0" collapsed="false">
      <c r="A48" s="6" t="s">
        <v>121</v>
      </c>
      <c r="B48" s="13" t="n">
        <f aca="false">0</f>
        <v>0</v>
      </c>
      <c r="C48" s="13" t="n">
        <f aca="false">$B$24</f>
        <v>2500</v>
      </c>
      <c r="D48" s="13" t="n">
        <f aca="false">$B$24</f>
        <v>2500</v>
      </c>
      <c r="E48" s="13" t="n">
        <f aca="false">$B$24</f>
        <v>2500</v>
      </c>
      <c r="F48" s="13" t="n">
        <f aca="false">$B$24</f>
        <v>2500</v>
      </c>
    </row>
    <row r="49" customFormat="false" ht="15" hidden="false" customHeight="false" outlineLevel="0" collapsed="false">
      <c r="A49" s="6" t="s">
        <v>122</v>
      </c>
      <c r="B49" s="10" t="n">
        <f aca="false">B31*ตั้งค่า!$B$38</f>
        <v>0</v>
      </c>
      <c r="C49" s="10" t="n">
        <f aca="false">C31*ตั้งค่า!$B$38</f>
        <v>13500</v>
      </c>
      <c r="D49" s="10" t="n">
        <f aca="false">D31*ตั้งค่า!$B$38</f>
        <v>27000</v>
      </c>
      <c r="E49" s="10" t="n">
        <f aca="false">E31*ตั้งค่า!$B$38</f>
        <v>40500</v>
      </c>
      <c r="F49" s="10" t="n">
        <f aca="false">F31*ตั้งค่า!$B$38</f>
        <v>54000</v>
      </c>
    </row>
    <row r="50" customFormat="false" ht="15" hidden="false" customHeight="false" outlineLevel="0" collapsed="false">
      <c r="A50" s="6" t="s">
        <v>123</v>
      </c>
      <c r="B50" s="10" t="n">
        <f aca="false">ตั้งค่า!$B$39*B40</f>
        <v>0</v>
      </c>
      <c r="C50" s="10" t="n">
        <f aca="false">ตั้งค่า!$B$39*C40</f>
        <v>4047.5</v>
      </c>
      <c r="D50" s="10" t="n">
        <f aca="false">ตั้งค่า!$B$39*D40</f>
        <v>8095</v>
      </c>
      <c r="E50" s="10" t="n">
        <f aca="false">ตั้งค่า!$B$39*E40</f>
        <v>12142.5</v>
      </c>
      <c r="F50" s="10" t="n">
        <f aca="false">ตั้งค่า!$B$39*F40</f>
        <v>16190</v>
      </c>
    </row>
    <row r="51" customFormat="false" ht="15" hidden="false" customHeight="false" outlineLevel="0" collapsed="false">
      <c r="A51" s="6" t="s">
        <v>124</v>
      </c>
      <c r="B51" s="10" t="n">
        <f aca="false">สรุปกำไร!$B$12*B40</f>
        <v>0</v>
      </c>
      <c r="C51" s="10" t="n">
        <f aca="false">สรุปกำไร!$B$12*C40</f>
        <v>1451.54178122482</v>
      </c>
      <c r="D51" s="10" t="n">
        <f aca="false">สรุปกำไร!$B$12*D40</f>
        <v>2903.08356244964</v>
      </c>
      <c r="E51" s="10" t="n">
        <f aca="false">สรุปกำไร!$B$12*E40</f>
        <v>4354.62534367446</v>
      </c>
      <c r="F51" s="10" t="n">
        <f aca="false">สรุปกำไร!$B$12*F40</f>
        <v>5806.16712489928</v>
      </c>
    </row>
    <row r="52" customFormat="false" ht="15" hidden="false" customHeight="false" outlineLevel="0" collapsed="false">
      <c r="A52" s="6" t="s">
        <v>125</v>
      </c>
      <c r="B52" s="13" t="n">
        <f aca="false">B36</f>
        <v>20000</v>
      </c>
      <c r="C52" s="13" t="n">
        <f aca="false">C36</f>
        <v>20000</v>
      </c>
      <c r="D52" s="13" t="n">
        <f aca="false">D36</f>
        <v>20000</v>
      </c>
      <c r="E52" s="13" t="n">
        <f aca="false">E36</f>
        <v>20000</v>
      </c>
      <c r="F52" s="13" t="n">
        <f aca="false">F36</f>
        <v>0</v>
      </c>
    </row>
    <row r="53" customFormat="false" ht="15" hidden="false" customHeight="false" outlineLevel="0" collapsed="false">
      <c r="A53" s="14" t="s">
        <v>36</v>
      </c>
      <c r="B53" s="15" t="n">
        <f aca="false">SUM(B44:B52)</f>
        <v>233692.558</v>
      </c>
      <c r="C53" s="15" t="n">
        <f aca="false">SUM(C44:C52)</f>
        <v>276491.599781225</v>
      </c>
      <c r="D53" s="15" t="n">
        <f aca="false">SUM(D44:D52)</f>
        <v>312790.64156245</v>
      </c>
      <c r="E53" s="15" t="n">
        <f aca="false">SUM(E44:E52)</f>
        <v>349089.683343674</v>
      </c>
      <c r="F53" s="15" t="n">
        <f aca="false">SUM(F44:F52)</f>
        <v>365388.725124899</v>
      </c>
    </row>
    <row r="55" customFormat="false" ht="15" hidden="false" customHeight="false" outlineLevel="0" collapsed="false">
      <c r="A55" s="4" t="s">
        <v>126</v>
      </c>
      <c r="B55" s="5"/>
      <c r="C55" s="5"/>
      <c r="D55" s="5"/>
      <c r="E55" s="5"/>
      <c r="F55" s="5"/>
    </row>
    <row r="56" customFormat="false" ht="15" hidden="false" customHeight="false" outlineLevel="0" collapsed="false">
      <c r="A56" s="6" t="s">
        <v>38</v>
      </c>
      <c r="B56" s="16" t="n">
        <f aca="false">B41-B53</f>
        <v>14507.442</v>
      </c>
      <c r="C56" s="16" t="n">
        <f aca="false">C41-C53</f>
        <v>52658.4002187752</v>
      </c>
      <c r="D56" s="16" t="n">
        <f aca="false">D41-D53</f>
        <v>97309.3584375504</v>
      </c>
      <c r="E56" s="16" t="n">
        <f aca="false">E41-E53</f>
        <v>141960.316656326</v>
      </c>
      <c r="F56" s="16" t="n">
        <f aca="false">F41-F53</f>
        <v>206611.274875101</v>
      </c>
    </row>
    <row r="57" customFormat="false" ht="15" hidden="false" customHeight="false" outlineLevel="0" collapsed="false">
      <c r="A57" s="6" t="s">
        <v>39</v>
      </c>
      <c r="B57" s="10" t="n">
        <f aca="false">MAX(0,B56)*ตั้งค่า!$B$41</f>
        <v>2901.4884</v>
      </c>
      <c r="C57" s="10" t="n">
        <f aca="false">MAX(0,C56)*ตั้งค่า!$B$41</f>
        <v>10531.680043755</v>
      </c>
      <c r="D57" s="10" t="n">
        <f aca="false">MAX(0,D56)*ตั้งค่า!$B$41</f>
        <v>19461.8716875101</v>
      </c>
      <c r="E57" s="10" t="n">
        <f aca="false">MAX(0,E56)*ตั้งค่า!$B$41</f>
        <v>28392.0633312651</v>
      </c>
      <c r="F57" s="10" t="n">
        <f aca="false">MAX(0,F56)*ตั้งค่า!$B$41</f>
        <v>41322.2549750201</v>
      </c>
    </row>
    <row r="58" customFormat="false" ht="15" hidden="false" customHeight="false" outlineLevel="0" collapsed="false">
      <c r="A58" s="14" t="s">
        <v>40</v>
      </c>
      <c r="B58" s="17" t="n">
        <f aca="false">B56-B57</f>
        <v>11605.9536</v>
      </c>
      <c r="C58" s="17" t="n">
        <f aca="false">C56-C57</f>
        <v>42126.7201750201</v>
      </c>
      <c r="D58" s="17" t="n">
        <f aca="false">D56-D57</f>
        <v>77847.4867500403</v>
      </c>
      <c r="E58" s="17" t="n">
        <f aca="false">E56-E57</f>
        <v>113568.25332506</v>
      </c>
      <c r="F58" s="17" t="n">
        <f aca="false">F56-F57</f>
        <v>165289.019900081</v>
      </c>
    </row>
    <row r="59" customFormat="false" ht="15" hidden="false" customHeight="false" outlineLevel="0" collapsed="false">
      <c r="A59" s="6" t="s">
        <v>127</v>
      </c>
      <c r="B59" s="16" t="n">
        <f aca="false">0</f>
        <v>0</v>
      </c>
      <c r="C59" s="16" t="n">
        <f aca="false">C58-$B$58</f>
        <v>30520.7665750201</v>
      </c>
      <c r="D59" s="16" t="n">
        <f aca="false">D58-$B$58</f>
        <v>66241.5331500403</v>
      </c>
      <c r="E59" s="16" t="n">
        <f aca="false">E58-$B$58</f>
        <v>101962.29972506</v>
      </c>
      <c r="F59" s="16" t="n">
        <f aca="false">F58-$B$58</f>
        <v>153683.066300081</v>
      </c>
    </row>
    <row r="60" customFormat="false" ht="15" hidden="false" customHeight="false" outlineLevel="0" collapsed="false">
      <c r="A60" s="19" t="s">
        <v>42</v>
      </c>
      <c r="B60" s="20" t="str">
        <f aca="false">IF(B58&gt;=0,"กำไร","ขาดทุน")</f>
        <v>กำไร</v>
      </c>
      <c r="C60" s="20" t="str">
        <f aca="false">IF(C58&gt;=0,"กำไร","ขาดทุน")</f>
        <v>กำไร</v>
      </c>
      <c r="D60" s="20" t="str">
        <f aca="false">IF(D58&gt;=0,"กำไร","ขาดทุน")</f>
        <v>กำไร</v>
      </c>
      <c r="E60" s="20" t="str">
        <f aca="false">IF(E58&gt;=0,"กำไร","ขาดทุน")</f>
        <v>กำไร</v>
      </c>
      <c r="F60" s="20" t="str">
        <f aca="false">IF(F58&gt;=0,"กำไร","ขาดทุน")</f>
        <v>กำไร</v>
      </c>
    </row>
    <row r="61" customFormat="false" ht="15" hidden="false" customHeight="false" outlineLevel="0" collapsed="false">
      <c r="A61" s="6" t="s">
        <v>128</v>
      </c>
      <c r="B61" s="10" t="n">
        <f aca="false">ตั้งค่า!$B$42</f>
        <v>2000000</v>
      </c>
      <c r="C61" s="10" t="n">
        <f aca="false">ตั้งค่า!$B$42+$D$21</f>
        <v>4015200</v>
      </c>
      <c r="D61" s="10" t="n">
        <f aca="false">ตั้งค่า!$B$42+$D$21</f>
        <v>4015200</v>
      </c>
      <c r="E61" s="10" t="n">
        <f aca="false">ตั้งค่า!$B$42+$D$21</f>
        <v>4015200</v>
      </c>
      <c r="F61" s="10" t="n">
        <f aca="false">ตั้งค่า!$B$42+$D$21</f>
        <v>4015200</v>
      </c>
    </row>
    <row r="62" customFormat="false" ht="15" hidden="false" customHeight="false" outlineLevel="0" collapsed="false">
      <c r="A62" s="6" t="s">
        <v>129</v>
      </c>
      <c r="B62" s="40" t="n">
        <f aca="false">IF(B58&lt;=0,"ยังไม่คืนทุน",IF(B61/B58&gt;240,"เกิน 20 ปี",B61/B58/12))</f>
        <v>14.3604457169867</v>
      </c>
      <c r="C62" s="40" t="n">
        <f aca="false">IF(C58&lt;=0,"ยังไม่คืนทุน",IF(C61/C58&gt;240,"เกิน 20 ปี",C61/C58/12))</f>
        <v>7.94270236585871</v>
      </c>
      <c r="D62" s="40" t="n">
        <f aca="false">IF(D58&lt;=0,"ยังไม่คืนทุน",IF(D61/D58&gt;240,"เกิน 20 ปี",D61/D58/12))</f>
        <v>4.29814774977083</v>
      </c>
      <c r="E62" s="40" t="n">
        <f aca="false">IF(E58&lt;=0,"ยังไม่คืนทุน",IF(E61/E58&gt;240,"เกิน 20 ปี",E61/E58/12))</f>
        <v>2.94624589357989</v>
      </c>
      <c r="F62" s="40" t="n">
        <f aca="false">IF(F58&lt;=0,"ยังไม่คืนทุน",IF(F61/F58&gt;240,"เกิน 20 ปี",F61/F58/12))</f>
        <v>2.02433289399544</v>
      </c>
    </row>
    <row r="63" customFormat="false" ht="15" hidden="false" customHeight="false" outlineLevel="0" collapsed="false">
      <c r="A63" s="6" t="s">
        <v>130</v>
      </c>
      <c r="B63" s="40" t="str">
        <f aca="false">"-"</f>
        <v>-</v>
      </c>
      <c r="C63" s="40" t="n">
        <f aca="false">IF(C59&lt;=0,"ยังไม่คืนทุน",IF($D$21/C59&gt;240,"เกิน 20 ปี",$D$21/C59/12))</f>
        <v>5.50226459484734</v>
      </c>
      <c r="D63" s="40" t="n">
        <f aca="false">IF(D59&lt;=0,"ยังไม่คืนทุน",IF($D$21/D59&gt;240,"เกิน 20 ปี",$D$21/D59/12))</f>
        <v>2.53516676543334</v>
      </c>
      <c r="E63" s="40" t="n">
        <f aca="false">IF(E59&lt;=0,"ยังไม่คืนทุน",IF($D$21/E59&gt;240,"เกิน 20 ปี",$D$21/E59/12))</f>
        <v>1.64701398248336</v>
      </c>
      <c r="F63" s="40" t="n">
        <f aca="false">IF(F59&lt;=0,"ยังไม่คืนทุน",IF($D$21/F59&gt;240,"เกิน 20 ปี",$D$21/F59/12))</f>
        <v>1.09272503065125</v>
      </c>
    </row>
    <row r="64" customFormat="false" ht="15" hidden="false" customHeight="false" outlineLevel="0" collapsed="false">
      <c r="A64" s="6" t="s">
        <v>131</v>
      </c>
      <c r="B64" s="41" t="str">
        <f aca="false">"-"</f>
        <v>-</v>
      </c>
      <c r="C64" s="42" t="n">
        <f aca="false">IFERROR(MAX(0,C33*ตั้งค่า!$B$37+C34+C35+$B$24+C36-$B$36)/($B$26*(1-ตั้งค่า!$B$39-สรุปกำไร!$B$12)-ตั้งค่า!$B$38),"-")</f>
        <v>1.15252454607492</v>
      </c>
      <c r="D64" s="42" t="n">
        <f aca="false">IFERROR(MAX(0,D33*ตั้งค่า!$B$37+D34+D35+$B$24+D36-$B$36)/($B$26*(1-ตั้งค่า!$B$39-สรุปกำไร!$B$12)-ตั้งค่า!$B$38),"-")</f>
        <v>1.99028398502853</v>
      </c>
      <c r="E64" s="42" t="n">
        <f aca="false">IFERROR(MAX(0,E33*ตั้งค่า!$B$37+E34+E35+$B$24+E36-$B$36)/($B$26*(1-ตั้งค่า!$B$39-สรุปกำไร!$B$12)-ตั้งค่า!$B$38),"-")</f>
        <v>2.82804342398215</v>
      </c>
      <c r="F64" s="42" t="n">
        <f aca="false">IFERROR(MAX(0,F33*ตั้งค่า!$B$37+F34+F35+$B$24+F36-$B$36)/($B$26*(1-ตั้งค่า!$B$39-สรุปกำไร!$B$12)-ตั้งค่า!$B$38),"-")</f>
        <v>2.69729484102407</v>
      </c>
    </row>
    <row r="66" customFormat="false" ht="15" hidden="false" customHeight="false" outlineLevel="0" collapsed="false">
      <c r="A66" s="26" t="s">
        <v>53</v>
      </c>
    </row>
    <row r="67" customFormat="false" ht="15" hidden="false" customHeight="false" outlineLevel="0" collapsed="false">
      <c r="A67" s="27" t="s">
        <v>132</v>
      </c>
    </row>
    <row r="68" customFormat="false" ht="15" hidden="false" customHeight="false" outlineLevel="0" collapsed="false">
      <c r="A68" s="27" t="s">
        <v>133</v>
      </c>
    </row>
    <row r="69" customFormat="false" ht="15" hidden="false" customHeight="false" outlineLevel="0" collapsed="false">
      <c r="A69" s="27" t="s">
        <v>134</v>
      </c>
    </row>
    <row r="70" customFormat="false" ht="15" hidden="false" customHeight="false" outlineLevel="0" collapsed="false">
      <c r="A70" s="27" t="s">
        <v>135</v>
      </c>
    </row>
    <row r="71" customFormat="false" ht="15" hidden="false" customHeight="false" outlineLevel="0" collapsed="false">
      <c r="A71" s="27" t="s">
        <v>136</v>
      </c>
    </row>
    <row r="72" customFormat="false" ht="15" hidden="false" customHeight="false" outlineLevel="0" collapsed="false">
      <c r="A72" s="27" t="s">
        <v>137</v>
      </c>
    </row>
  </sheetData>
  <conditionalFormatting sqref="B60:F60">
    <cfRule type="cellIs" priority="2" operator="equal" aboveAverage="0" equalAverage="0" bottom="0" percent="0" rank="0" text="" dxfId="0">
      <formula>"ขาดทุน"</formula>
    </cfRule>
    <cfRule type="cellIs" priority="3" operator="equal" aboveAverage="0" equalAverage="0" bottom="0" percent="0" rank="0" text="" dxfId="1">
      <formula>"กำไร"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138</v>
      </c>
      <c r="B1" s="43"/>
      <c r="C1" s="43"/>
      <c r="D1" s="43"/>
      <c r="E1" s="43"/>
    </row>
    <row r="2" customFormat="false" ht="15" hidden="false" customHeight="false" outlineLevel="0" collapsed="false">
      <c r="A2" s="2" t="s">
        <v>139</v>
      </c>
      <c r="B2" s="43"/>
      <c r="C2" s="43"/>
      <c r="D2" s="43"/>
      <c r="E2" s="43"/>
    </row>
    <row r="3" customFormat="false" ht="15" hidden="false" customHeight="false" outlineLevel="0" collapsed="false">
      <c r="A3" s="43"/>
      <c r="B3" s="43"/>
      <c r="C3" s="43"/>
      <c r="D3" s="43"/>
      <c r="E3" s="43"/>
    </row>
    <row r="4" customFormat="false" ht="15" hidden="false" customHeight="false" outlineLevel="0" collapsed="false">
      <c r="A4" s="26" t="s">
        <v>140</v>
      </c>
      <c r="B4" s="43"/>
      <c r="C4" s="43"/>
      <c r="D4" s="43"/>
      <c r="E4" s="43"/>
    </row>
    <row r="5" customFormat="false" ht="15" hidden="false" customHeight="false" outlineLevel="0" collapsed="false">
      <c r="A5" s="3" t="s">
        <v>141</v>
      </c>
      <c r="B5" s="3" t="s">
        <v>142</v>
      </c>
      <c r="C5" s="3" t="s">
        <v>74</v>
      </c>
      <c r="D5" s="3" t="s">
        <v>72</v>
      </c>
      <c r="E5" s="43"/>
    </row>
    <row r="6" customFormat="false" ht="15" hidden="false" customHeight="false" outlineLevel="0" collapsed="false">
      <c r="A6" s="44" t="s">
        <v>143</v>
      </c>
      <c r="B6" s="44" t="n">
        <v>1</v>
      </c>
      <c r="C6" s="9" t="n">
        <v>25000</v>
      </c>
      <c r="D6" s="9" t="n">
        <v>27000</v>
      </c>
      <c r="E6" s="43"/>
    </row>
    <row r="7" customFormat="false" ht="15" hidden="false" customHeight="false" outlineLevel="0" collapsed="false">
      <c r="A7" s="44" t="s">
        <v>144</v>
      </c>
      <c r="B7" s="44" t="n">
        <v>3</v>
      </c>
      <c r="C7" s="9" t="n">
        <v>23500</v>
      </c>
      <c r="D7" s="9" t="n">
        <v>25500</v>
      </c>
      <c r="E7" s="43"/>
    </row>
    <row r="8" customFormat="false" ht="15" hidden="false" customHeight="false" outlineLevel="0" collapsed="false">
      <c r="A8" s="44" t="s">
        <v>145</v>
      </c>
      <c r="B8" s="44" t="n">
        <v>6</v>
      </c>
      <c r="C8" s="9" t="n">
        <v>22500</v>
      </c>
      <c r="D8" s="9" t="n">
        <v>24500</v>
      </c>
      <c r="E8" s="43"/>
    </row>
    <row r="9" customFormat="false" ht="15" hidden="false" customHeight="false" outlineLevel="0" collapsed="false">
      <c r="A9" s="44" t="s">
        <v>146</v>
      </c>
      <c r="B9" s="44" t="n">
        <v>3</v>
      </c>
      <c r="C9" s="9" t="n">
        <v>19900</v>
      </c>
      <c r="D9" s="9" t="n">
        <v>19900</v>
      </c>
      <c r="E9" s="2" t="s">
        <v>147</v>
      </c>
    </row>
    <row r="10" customFormat="false" ht="15" hidden="false" customHeight="false" outlineLevel="0" collapsed="false">
      <c r="A10" s="44" t="s">
        <v>148</v>
      </c>
      <c r="B10" s="44" t="n">
        <v>3</v>
      </c>
      <c r="C10" s="13" t="n">
        <f aca="false">C$6</f>
        <v>25000</v>
      </c>
      <c r="D10" s="13" t="n">
        <f aca="false">D$6</f>
        <v>27000</v>
      </c>
      <c r="E10" s="2" t="s">
        <v>149</v>
      </c>
    </row>
    <row r="11" customFormat="false" ht="15" hidden="false" customHeight="false" outlineLevel="0" collapsed="false">
      <c r="A11" s="44" t="s">
        <v>150</v>
      </c>
      <c r="B11" s="44" t="n">
        <v>6</v>
      </c>
      <c r="C11" s="13" t="n">
        <f aca="false">C$6</f>
        <v>25000</v>
      </c>
      <c r="D11" s="13" t="n">
        <f aca="false">D$6</f>
        <v>27000</v>
      </c>
      <c r="E11" s="2" t="s">
        <v>151</v>
      </c>
    </row>
    <row r="12" customFormat="false" ht="15" hidden="false" customHeight="false" outlineLevel="0" collapsed="false">
      <c r="A12" s="26" t="s">
        <v>152</v>
      </c>
      <c r="B12" s="43"/>
      <c r="C12" s="43"/>
      <c r="D12" s="43"/>
      <c r="E12" s="43"/>
    </row>
    <row r="13" customFormat="false" ht="15" hidden="false" customHeight="false" outlineLevel="0" collapsed="false">
      <c r="A13" s="3" t="s">
        <v>153</v>
      </c>
      <c r="B13" s="3" t="s">
        <v>154</v>
      </c>
      <c r="C13" s="43"/>
      <c r="D13" s="43"/>
      <c r="E13" s="43"/>
    </row>
    <row r="14" customFormat="false" ht="15" hidden="false" customHeight="false" outlineLevel="0" collapsed="false">
      <c r="A14" s="44" t="s">
        <v>155</v>
      </c>
      <c r="B14" s="9" t="n">
        <v>0</v>
      </c>
      <c r="C14" s="43"/>
      <c r="D14" s="43"/>
      <c r="E14" s="43"/>
    </row>
    <row r="15" customFormat="false" ht="15" hidden="false" customHeight="false" outlineLevel="0" collapsed="false">
      <c r="A15" s="44" t="s">
        <v>156</v>
      </c>
      <c r="B15" s="9" t="n">
        <v>4000</v>
      </c>
      <c r="C15" s="43"/>
      <c r="D15" s="43"/>
      <c r="E15" s="43"/>
    </row>
    <row r="16" customFormat="false" ht="15" hidden="false" customHeight="false" outlineLevel="0" collapsed="false">
      <c r="A16" s="44" t="s">
        <v>157</v>
      </c>
      <c r="B16" s="9" t="n">
        <v>6000</v>
      </c>
      <c r="C16" s="43"/>
      <c r="D16" s="43"/>
      <c r="E16" s="43"/>
    </row>
    <row r="17" customFormat="false" ht="15" hidden="false" customHeight="false" outlineLevel="0" collapsed="false">
      <c r="A17" s="43"/>
      <c r="B17" s="43"/>
      <c r="C17" s="43"/>
      <c r="D17" s="43"/>
      <c r="E17" s="43"/>
    </row>
    <row r="18" customFormat="false" ht="15" hidden="false" customHeight="false" outlineLevel="0" collapsed="false">
      <c r="A18" s="26" t="s">
        <v>158</v>
      </c>
      <c r="B18" s="43"/>
      <c r="C18" s="43"/>
      <c r="D18" s="43"/>
      <c r="E18" s="43"/>
    </row>
    <row r="19" customFormat="false" ht="15" hidden="false" customHeight="false" outlineLevel="0" collapsed="false">
      <c r="A19" s="3" t="s">
        <v>159</v>
      </c>
      <c r="B19" s="3" t="s">
        <v>160</v>
      </c>
      <c r="C19" s="43"/>
      <c r="D19" s="43"/>
      <c r="E19" s="43"/>
    </row>
    <row r="20" customFormat="false" ht="15" hidden="false" customHeight="false" outlineLevel="0" collapsed="false">
      <c r="A20" s="44" t="s">
        <v>161</v>
      </c>
      <c r="B20" s="45" t="n">
        <v>0</v>
      </c>
      <c r="C20" s="43"/>
      <c r="D20" s="43"/>
      <c r="E20" s="43"/>
    </row>
    <row r="21" customFormat="false" ht="15" hidden="false" customHeight="false" outlineLevel="0" collapsed="false">
      <c r="A21" s="44" t="s">
        <v>162</v>
      </c>
      <c r="B21" s="45" t="n">
        <v>0.016</v>
      </c>
      <c r="C21" s="2" t="s">
        <v>163</v>
      </c>
      <c r="D21" s="43"/>
      <c r="E21" s="43"/>
    </row>
    <row r="22" customFormat="false" ht="15" hidden="false" customHeight="false" outlineLevel="0" collapsed="false">
      <c r="A22" s="44" t="s">
        <v>164</v>
      </c>
      <c r="B22" s="45" t="n">
        <v>0.03</v>
      </c>
      <c r="C22" s="2" t="s">
        <v>165</v>
      </c>
      <c r="D22" s="43"/>
      <c r="E22" s="43"/>
    </row>
    <row r="23" customFormat="false" ht="15" hidden="false" customHeight="false" outlineLevel="0" collapsed="false">
      <c r="A23" s="44" t="s">
        <v>166</v>
      </c>
      <c r="B23" s="45" t="n">
        <v>0.05</v>
      </c>
      <c r="C23" s="43"/>
      <c r="D23" s="43"/>
      <c r="E23" s="43"/>
    </row>
    <row r="24" customFormat="false" ht="15" hidden="false" customHeight="false" outlineLevel="0" collapsed="false">
      <c r="A24" s="44" t="s">
        <v>167</v>
      </c>
      <c r="B24" s="45" t="n">
        <v>0.07</v>
      </c>
      <c r="C24" s="43"/>
      <c r="D24" s="43"/>
      <c r="E24" s="43"/>
    </row>
    <row r="25" customFormat="false" ht="15" hidden="false" customHeight="false" outlineLevel="0" collapsed="false">
      <c r="A25" s="43"/>
      <c r="B25" s="43"/>
      <c r="C25" s="43"/>
      <c r="D25" s="43"/>
      <c r="E25" s="43"/>
    </row>
    <row r="26" customFormat="false" ht="15" hidden="false" customHeight="false" outlineLevel="0" collapsed="false">
      <c r="A26" s="43" t="s">
        <v>168</v>
      </c>
      <c r="B26" s="36" t="n">
        <v>0.07</v>
      </c>
      <c r="C26" s="2" t="s">
        <v>169</v>
      </c>
      <c r="D26" s="43"/>
      <c r="E26" s="43"/>
    </row>
    <row r="29" customFormat="false" ht="15" hidden="false" customHeight="false" outlineLevel="0" collapsed="false">
      <c r="A29" s="26" t="s">
        <v>170</v>
      </c>
      <c r="C29" s="2" t="s">
        <v>171</v>
      </c>
    </row>
    <row r="30" customFormat="false" ht="15" hidden="false" customHeight="false" outlineLevel="0" collapsed="false">
      <c r="A30" s="46" t="s">
        <v>79</v>
      </c>
      <c r="B30" s="46" t="s">
        <v>172</v>
      </c>
    </row>
    <row r="31" customFormat="false" ht="15" hidden="false" customHeight="false" outlineLevel="0" collapsed="false">
      <c r="A31" s="47" t="s">
        <v>23</v>
      </c>
      <c r="B31" s="9" t="n">
        <v>52632</v>
      </c>
    </row>
    <row r="32" customFormat="false" ht="15" hidden="false" customHeight="false" outlineLevel="0" collapsed="false">
      <c r="A32" s="47" t="s">
        <v>25</v>
      </c>
      <c r="B32" s="9" t="n">
        <v>20000</v>
      </c>
    </row>
    <row r="33" customFormat="false" ht="15" hidden="false" customHeight="false" outlineLevel="0" collapsed="false">
      <c r="A33" s="47" t="s">
        <v>27</v>
      </c>
      <c r="B33" s="9" t="n">
        <v>4500</v>
      </c>
    </row>
    <row r="34" customFormat="false" ht="15" hidden="false" customHeight="false" outlineLevel="0" collapsed="false">
      <c r="A34" s="47" t="s">
        <v>28</v>
      </c>
      <c r="B34" s="9" t="n">
        <v>500</v>
      </c>
    </row>
    <row r="35" customFormat="false" ht="15" hidden="false" customHeight="false" outlineLevel="0" collapsed="false">
      <c r="A35" s="47" t="s">
        <v>29</v>
      </c>
      <c r="B35" s="9" t="n">
        <v>1200</v>
      </c>
    </row>
    <row r="36" customFormat="false" ht="15" hidden="false" customHeight="false" outlineLevel="0" collapsed="false">
      <c r="A36" s="47" t="s">
        <v>26</v>
      </c>
      <c r="B36" s="9" t="n">
        <v>0</v>
      </c>
    </row>
    <row r="37" customFormat="false" ht="15" hidden="false" customHeight="false" outlineLevel="0" collapsed="false">
      <c r="A37" s="47" t="s">
        <v>173</v>
      </c>
      <c r="B37" s="9" t="n">
        <v>15000</v>
      </c>
    </row>
    <row r="38" customFormat="false" ht="15" hidden="false" customHeight="false" outlineLevel="0" collapsed="false">
      <c r="A38" s="47" t="s">
        <v>174</v>
      </c>
      <c r="B38" s="9" t="n">
        <v>4500</v>
      </c>
    </row>
    <row r="39" customFormat="false" ht="15" hidden="false" customHeight="false" outlineLevel="0" collapsed="false">
      <c r="A39" s="47" t="s">
        <v>175</v>
      </c>
      <c r="B39" s="36" t="n">
        <v>0.05</v>
      </c>
    </row>
    <row r="40" customFormat="false" ht="15" hidden="false" customHeight="false" outlineLevel="0" collapsed="false">
      <c r="A40" s="47" t="s">
        <v>176</v>
      </c>
      <c r="B40" s="9" t="n">
        <v>0</v>
      </c>
      <c r="C40" s="2" t="s">
        <v>177</v>
      </c>
    </row>
    <row r="41" customFormat="false" ht="15" hidden="false" customHeight="false" outlineLevel="0" collapsed="false">
      <c r="A41" s="47" t="s">
        <v>178</v>
      </c>
      <c r="B41" s="36" t="n">
        <v>0.2</v>
      </c>
    </row>
    <row r="42" customFormat="false" ht="15" hidden="false" customHeight="false" outlineLevel="0" collapsed="false">
      <c r="A42" s="47" t="s">
        <v>179</v>
      </c>
      <c r="B42" s="9" t="n">
        <v>2000000</v>
      </c>
    </row>
    <row r="43" customFormat="false" ht="15" hidden="false" customHeight="false" outlineLevel="0" collapsed="false">
      <c r="A43" s="47" t="s">
        <v>180</v>
      </c>
      <c r="B43" s="48" t="n">
        <v>5</v>
      </c>
    </row>
    <row r="44" customFormat="false" ht="42" hidden="false" customHeight="true" outlineLevel="0" collapsed="false">
      <c r="A44" s="47" t="s">
        <v>181</v>
      </c>
      <c r="B44" s="9"/>
      <c r="C44" s="2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4" min="3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10"/>
    <col collapsed="false" customWidth="true" hidden="false" outlineLevel="0" max="13" min="12" style="0" width="15"/>
    <col collapsed="false" customWidth="true" hidden="false" outlineLevel="0" max="14" min="14" style="0" width="13"/>
    <col collapsed="false" customWidth="true" hidden="false" outlineLevel="0" max="16" min="15" style="0" width="12"/>
    <col collapsed="false" customWidth="true" hidden="false" outlineLevel="0" max="17" min="17" style="0" width="15"/>
    <col collapsed="false" customWidth="true" hidden="false" outlineLevel="0" max="18" min="18" style="0" width="30"/>
  </cols>
  <sheetData>
    <row r="1" customFormat="false" ht="17.9" hidden="false" customHeight="false" outlineLevel="0" collapsed="false">
      <c r="A1" s="1" t="s">
        <v>183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</row>
    <row r="2" customFormat="false" ht="15" hidden="false" customHeight="false" outlineLevel="0" collapsed="false">
      <c r="A2" s="2" t="s">
        <v>184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</row>
    <row r="3" customFormat="false" ht="15" hidden="false" customHeight="fals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</row>
    <row r="4" customFormat="false" ht="48" hidden="false" customHeight="true" outlineLevel="0" collapsed="false">
      <c r="A4" s="3" t="s">
        <v>185</v>
      </c>
      <c r="B4" s="3" t="s">
        <v>186</v>
      </c>
      <c r="C4" s="3" t="s">
        <v>62</v>
      </c>
      <c r="D4" s="3" t="s">
        <v>141</v>
      </c>
      <c r="E4" s="3" t="s">
        <v>187</v>
      </c>
      <c r="F4" s="3" t="s">
        <v>142</v>
      </c>
      <c r="G4" s="3" t="s">
        <v>188</v>
      </c>
      <c r="H4" s="3" t="s">
        <v>189</v>
      </c>
      <c r="I4" s="3" t="s">
        <v>190</v>
      </c>
      <c r="J4" s="3" t="s">
        <v>159</v>
      </c>
      <c r="K4" s="3" t="s">
        <v>191</v>
      </c>
      <c r="L4" s="3" t="s">
        <v>192</v>
      </c>
      <c r="M4" s="3" t="s">
        <v>193</v>
      </c>
      <c r="N4" s="3" t="s">
        <v>194</v>
      </c>
      <c r="O4" s="3" t="s">
        <v>195</v>
      </c>
      <c r="P4" s="3" t="s">
        <v>196</v>
      </c>
      <c r="Q4" s="3" t="s">
        <v>197</v>
      </c>
      <c r="R4" s="3" t="s">
        <v>53</v>
      </c>
    </row>
    <row r="5" customFormat="false" ht="15" hidden="false" customHeight="false" outlineLevel="0" collapsed="false">
      <c r="A5" s="49" t="n">
        <v>1</v>
      </c>
      <c r="B5" s="44"/>
      <c r="C5" s="44" t="s">
        <v>74</v>
      </c>
      <c r="D5" s="44" t="s">
        <v>146</v>
      </c>
      <c r="E5" s="13" t="n">
        <f aca="false">IF($D5="","",IFERROR(INDEX(ตั้งค่า!$C$6:$D$11,MATCH(D5,ตั้งค่า!$A$6:$A$11,0),MATCH(C5,ตั้งค่า!$C$5:$D$5,0)),0))</f>
        <v>19900</v>
      </c>
      <c r="F5" s="49" t="n">
        <f aca="false">IF($D5="","",IFERROR(INDEX(ตั้งค่า!$B$6:$B$11,MATCH(D5,ตั้งค่า!$A$6:$A$11,0)),1))</f>
        <v>3</v>
      </c>
      <c r="G5" s="13" t="n">
        <f aca="false">IF($D5="","",E5*F5)</f>
        <v>59700</v>
      </c>
      <c r="H5" s="44" t="s">
        <v>155</v>
      </c>
      <c r="I5" s="13" t="n">
        <f aca="false">IF($D5="","",IFERROR(INDEX(ตั้งค่า!$B$14:$B$16,MATCH(H5,ตั้งค่า!$A$14:$A$16,0)),0))</f>
        <v>0</v>
      </c>
      <c r="J5" s="44" t="s">
        <v>164</v>
      </c>
      <c r="K5" s="12" t="n">
        <f aca="false">IF($D5="","",IF(AND(F5=1,LEFT(J5,4)="ผ่อน"),ตั้งค่า!$B$21,IFERROR(INDEX(ตั้งค่า!$B$20:$B$24,MATCH(J5,ตั้งค่า!$A$20:$A$24,0)),0)))</f>
        <v>0.03</v>
      </c>
      <c r="L5" s="13" t="n">
        <f aca="false">IF($D5="","",G5*K5*(1+ตั้งค่า!$B$26))</f>
        <v>1916.37</v>
      </c>
      <c r="M5" s="13" t="n">
        <f aca="false">IF($D5="","",IF(J5="โอน / เงินสด",0,I5*ตั้งค่า!$B$21*(1+ตั้งค่า!$B$26)))</f>
        <v>0</v>
      </c>
      <c r="N5" s="13" t="n">
        <f aca="false">IF($D5="","",L5/F5+M5)</f>
        <v>638.79</v>
      </c>
      <c r="O5" s="13" t="n">
        <f aca="false">IF($D5="","",E5+I5)</f>
        <v>19900</v>
      </c>
      <c r="P5" s="13" t="n">
        <f aca="false">IF($D5="","",O5-N5)</f>
        <v>19261.21</v>
      </c>
      <c r="Q5" s="13" t="n">
        <f aca="false">IF($D5="","",G5+I5-L5-M5)</f>
        <v>57783.63</v>
      </c>
      <c r="R5" s="6" t="str">
        <f aca="false">IF($D5="","",IF(AND(F5=1,LEFT(J5,4)="ผ่อน"),"จ่ายรายเดือนผ่อนไม่ได้ คิดเป็นรูดบัตร",""))</f>
        <v/>
      </c>
    </row>
    <row r="6" customFormat="false" ht="15" hidden="false" customHeight="false" outlineLevel="0" collapsed="false">
      <c r="A6" s="49" t="n">
        <v>2</v>
      </c>
      <c r="B6" s="44"/>
      <c r="C6" s="44" t="s">
        <v>74</v>
      </c>
      <c r="D6" s="44" t="s">
        <v>146</v>
      </c>
      <c r="E6" s="13" t="n">
        <f aca="false">IF($D6="","",IFERROR(INDEX(ตั้งค่า!$C$6:$D$11,MATCH(D6,ตั้งค่า!$A$6:$A$11,0),MATCH(C6,ตั้งค่า!$C$5:$D$5,0)),0))</f>
        <v>19900</v>
      </c>
      <c r="F6" s="49" t="n">
        <f aca="false">IF($D6="","",IFERROR(INDEX(ตั้งค่า!$B$6:$B$11,MATCH(D6,ตั้งค่า!$A$6:$A$11,0)),1))</f>
        <v>3</v>
      </c>
      <c r="G6" s="13" t="n">
        <f aca="false">IF($D6="","",E6*F6)</f>
        <v>59700</v>
      </c>
      <c r="H6" s="44" t="s">
        <v>156</v>
      </c>
      <c r="I6" s="13" t="n">
        <f aca="false">IF($D6="","",IFERROR(INDEX(ตั้งค่า!$B$14:$B$16,MATCH(H6,ตั้งค่า!$A$14:$A$16,0)),0))</f>
        <v>4000</v>
      </c>
      <c r="J6" s="44" t="s">
        <v>161</v>
      </c>
      <c r="K6" s="12" t="n">
        <f aca="false">IF($D6="","",IF(AND(F6=1,LEFT(J6,4)="ผ่อน"),ตั้งค่า!$B$21,IFERROR(INDEX(ตั้งค่า!$B$20:$B$24,MATCH(J6,ตั้งค่า!$A$20:$A$24,0)),0)))</f>
        <v>0</v>
      </c>
      <c r="L6" s="13" t="n">
        <f aca="false">IF($D6="","",G6*K6*(1+ตั้งค่า!$B$26))</f>
        <v>0</v>
      </c>
      <c r="M6" s="13" t="n">
        <f aca="false">IF($D6="","",IF(J6="โอน / เงินสด",0,I6*ตั้งค่า!$B$21*(1+ตั้งค่า!$B$26)))</f>
        <v>0</v>
      </c>
      <c r="N6" s="13" t="n">
        <f aca="false">IF($D6="","",L6/F6+M6)</f>
        <v>0</v>
      </c>
      <c r="O6" s="13" t="n">
        <f aca="false">IF($D6="","",E6+I6)</f>
        <v>23900</v>
      </c>
      <c r="P6" s="13" t="n">
        <f aca="false">IF($D6="","",O6-N6)</f>
        <v>23900</v>
      </c>
      <c r="Q6" s="13" t="n">
        <f aca="false">IF($D6="","",G6+I6-L6-M6)</f>
        <v>63700</v>
      </c>
      <c r="R6" s="6" t="str">
        <f aca="false">IF($D6="","",IF(AND(F6=1,LEFT(J6,4)="ผ่อน"),"จ่ายรายเดือนผ่อนไม่ได้ คิดเป็นรูดบัตร",""))</f>
        <v/>
      </c>
    </row>
    <row r="7" customFormat="false" ht="15" hidden="false" customHeight="false" outlineLevel="0" collapsed="false">
      <c r="A7" s="49" t="n">
        <v>3</v>
      </c>
      <c r="B7" s="44"/>
      <c r="C7" s="44" t="s">
        <v>74</v>
      </c>
      <c r="D7" s="44" t="s">
        <v>146</v>
      </c>
      <c r="E7" s="13" t="n">
        <f aca="false">IF($D7="","",IFERROR(INDEX(ตั้งค่า!$C$6:$D$11,MATCH(D7,ตั้งค่า!$A$6:$A$11,0),MATCH(C7,ตั้งค่า!$C$5:$D$5,0)),0))</f>
        <v>19900</v>
      </c>
      <c r="F7" s="49" t="n">
        <f aca="false">IF($D7="","",IFERROR(INDEX(ตั้งค่า!$B$6:$B$11,MATCH(D7,ตั้งค่า!$A$6:$A$11,0)),1))</f>
        <v>3</v>
      </c>
      <c r="G7" s="13" t="n">
        <f aca="false">IF($D7="","",E7*F7)</f>
        <v>59700</v>
      </c>
      <c r="H7" s="44" t="s">
        <v>155</v>
      </c>
      <c r="I7" s="13" t="n">
        <f aca="false">IF($D7="","",IFERROR(INDEX(ตั้งค่า!$B$14:$B$16,MATCH(H7,ตั้งค่า!$A$14:$A$16,0)),0))</f>
        <v>0</v>
      </c>
      <c r="J7" s="44" t="s">
        <v>162</v>
      </c>
      <c r="K7" s="12" t="n">
        <f aca="false">IF($D7="","",IF(AND(F7=1,LEFT(J7,4)="ผ่อน"),ตั้งค่า!$B$21,IFERROR(INDEX(ตั้งค่า!$B$20:$B$24,MATCH(J7,ตั้งค่า!$A$20:$A$24,0)),0)))</f>
        <v>0.016</v>
      </c>
      <c r="L7" s="13" t="n">
        <f aca="false">IF($D7="","",G7*K7*(1+ตั้งค่า!$B$26))</f>
        <v>1022.064</v>
      </c>
      <c r="M7" s="13" t="n">
        <f aca="false">IF($D7="","",IF(J7="โอน / เงินสด",0,I7*ตั้งค่า!$B$21*(1+ตั้งค่า!$B$26)))</f>
        <v>0</v>
      </c>
      <c r="N7" s="13" t="n">
        <f aca="false">IF($D7="","",L7/F7+M7)</f>
        <v>340.688</v>
      </c>
      <c r="O7" s="13" t="n">
        <f aca="false">IF($D7="","",E7+I7)</f>
        <v>19900</v>
      </c>
      <c r="P7" s="13" t="n">
        <f aca="false">IF($D7="","",O7-N7)</f>
        <v>19559.312</v>
      </c>
      <c r="Q7" s="13" t="n">
        <f aca="false">IF($D7="","",G7+I7-L7-M7)</f>
        <v>58677.936</v>
      </c>
      <c r="R7" s="6" t="str">
        <f aca="false">IF($D7="","",IF(AND(F7=1,LEFT(J7,4)="ผ่อน"),"จ่ายรายเดือนผ่อนไม่ได้ คิดเป็นรูดบัตร",""))</f>
        <v/>
      </c>
    </row>
    <row r="8" customFormat="false" ht="15" hidden="false" customHeight="false" outlineLevel="0" collapsed="false">
      <c r="A8" s="49" t="n">
        <v>4</v>
      </c>
      <c r="B8" s="44"/>
      <c r="C8" s="44" t="s">
        <v>74</v>
      </c>
      <c r="D8" s="44" t="s">
        <v>144</v>
      </c>
      <c r="E8" s="13" t="n">
        <f aca="false">IF($D8="","",IFERROR(INDEX(ตั้งค่า!$C$6:$D$11,MATCH(D8,ตั้งค่า!$A$6:$A$11,0),MATCH(C8,ตั้งค่า!$C$5:$D$5,0)),0))</f>
        <v>23500</v>
      </c>
      <c r="F8" s="49" t="n">
        <f aca="false">IF($D8="","",IFERROR(INDEX(ตั้งค่า!$B$6:$B$11,MATCH(D8,ตั้งค่า!$A$6:$A$11,0)),1))</f>
        <v>3</v>
      </c>
      <c r="G8" s="13" t="n">
        <f aca="false">IF($D8="","",E8*F8)</f>
        <v>70500</v>
      </c>
      <c r="H8" s="44" t="s">
        <v>155</v>
      </c>
      <c r="I8" s="13" t="n">
        <f aca="false">IF($D8="","",IFERROR(INDEX(ตั้งค่า!$B$14:$B$16,MATCH(H8,ตั้งค่า!$A$14:$A$16,0)),0))</f>
        <v>0</v>
      </c>
      <c r="J8" s="44" t="s">
        <v>161</v>
      </c>
      <c r="K8" s="12" t="n">
        <f aca="false">IF($D8="","",IF(AND(F8=1,LEFT(J8,4)="ผ่อน"),ตั้งค่า!$B$21,IFERROR(INDEX(ตั้งค่า!$B$20:$B$24,MATCH(J8,ตั้งค่า!$A$20:$A$24,0)),0)))</f>
        <v>0</v>
      </c>
      <c r="L8" s="13" t="n">
        <f aca="false">IF($D8="","",G8*K8*(1+ตั้งค่า!$B$26))</f>
        <v>0</v>
      </c>
      <c r="M8" s="13" t="n">
        <f aca="false">IF($D8="","",IF(J8="โอน / เงินสด",0,I8*ตั้งค่า!$B$21*(1+ตั้งค่า!$B$26)))</f>
        <v>0</v>
      </c>
      <c r="N8" s="13" t="n">
        <f aca="false">IF($D8="","",L8/F8+M8)</f>
        <v>0</v>
      </c>
      <c r="O8" s="13" t="n">
        <f aca="false">IF($D8="","",E8+I8)</f>
        <v>23500</v>
      </c>
      <c r="P8" s="13" t="n">
        <f aca="false">IF($D8="","",O8-N8)</f>
        <v>23500</v>
      </c>
      <c r="Q8" s="13" t="n">
        <f aca="false">IF($D8="","",G8+I8-L8-M8)</f>
        <v>70500</v>
      </c>
      <c r="R8" s="6" t="str">
        <f aca="false">IF($D8="","",IF(AND(F8=1,LEFT(J8,4)="ผ่อน"),"จ่ายรายเดือนผ่อนไม่ได้ คิดเป็นรูดบัตร",""))</f>
        <v/>
      </c>
    </row>
    <row r="9" customFormat="false" ht="15" hidden="false" customHeight="false" outlineLevel="0" collapsed="false">
      <c r="A9" s="49" t="n">
        <v>5</v>
      </c>
      <c r="B9" s="44"/>
      <c r="C9" s="44" t="s">
        <v>74</v>
      </c>
      <c r="D9" s="44" t="s">
        <v>144</v>
      </c>
      <c r="E9" s="13" t="n">
        <f aca="false">IF($D9="","",IFERROR(INDEX(ตั้งค่า!$C$6:$D$11,MATCH(D9,ตั้งค่า!$A$6:$A$11,0),MATCH(C9,ตั้งค่า!$C$5:$D$5,0)),0))</f>
        <v>23500</v>
      </c>
      <c r="F9" s="49" t="n">
        <f aca="false">IF($D9="","",IFERROR(INDEX(ตั้งค่า!$B$6:$B$11,MATCH(D9,ตั้งค่า!$A$6:$A$11,0)),1))</f>
        <v>3</v>
      </c>
      <c r="G9" s="13" t="n">
        <f aca="false">IF($D9="","",E9*F9)</f>
        <v>70500</v>
      </c>
      <c r="H9" s="44" t="s">
        <v>156</v>
      </c>
      <c r="I9" s="13" t="n">
        <f aca="false">IF($D9="","",IFERROR(INDEX(ตั้งค่า!$B$14:$B$16,MATCH(H9,ตั้งค่า!$A$14:$A$16,0)),0))</f>
        <v>4000</v>
      </c>
      <c r="J9" s="44" t="s">
        <v>164</v>
      </c>
      <c r="K9" s="12" t="n">
        <f aca="false">IF($D9="","",IF(AND(F9=1,LEFT(J9,4)="ผ่อน"),ตั้งค่า!$B$21,IFERROR(INDEX(ตั้งค่า!$B$20:$B$24,MATCH(J9,ตั้งค่า!$A$20:$A$24,0)),0)))</f>
        <v>0.03</v>
      </c>
      <c r="L9" s="13" t="n">
        <f aca="false">IF($D9="","",G9*K9*(1+ตั้งค่า!$B$26))</f>
        <v>2263.05</v>
      </c>
      <c r="M9" s="13" t="n">
        <f aca="false">IF($D9="","",IF(J9="โอน / เงินสด",0,I9*ตั้งค่า!$B$21*(1+ตั้งค่า!$B$26)))</f>
        <v>68.48</v>
      </c>
      <c r="N9" s="13" t="n">
        <f aca="false">IF($D9="","",L9/F9+M9)</f>
        <v>822.83</v>
      </c>
      <c r="O9" s="13" t="n">
        <f aca="false">IF($D9="","",E9+I9)</f>
        <v>27500</v>
      </c>
      <c r="P9" s="13" t="n">
        <f aca="false">IF($D9="","",O9-N9)</f>
        <v>26677.17</v>
      </c>
      <c r="Q9" s="13" t="n">
        <f aca="false">IF($D9="","",G9+I9-L9-M9)</f>
        <v>72168.47</v>
      </c>
      <c r="R9" s="6" t="str">
        <f aca="false">IF($D9="","",IF(AND(F9=1,LEFT(J9,4)="ผ่อน"),"จ่ายรายเดือนผ่อนไม่ได้ คิดเป็นรูดบัตร",""))</f>
        <v/>
      </c>
    </row>
    <row r="10" customFormat="false" ht="15" hidden="false" customHeight="false" outlineLevel="0" collapsed="false">
      <c r="A10" s="49" t="n">
        <v>6</v>
      </c>
      <c r="B10" s="44"/>
      <c r="C10" s="44" t="s">
        <v>74</v>
      </c>
      <c r="D10" s="44" t="s">
        <v>150</v>
      </c>
      <c r="E10" s="13" t="n">
        <f aca="false">IF($D10="","",IFERROR(INDEX(ตั้งค่า!$C$6:$D$11,MATCH(D10,ตั้งค่า!$A$6:$A$11,0),MATCH(C10,ตั้งค่า!$C$5:$D$5,0)),0))</f>
        <v>25000</v>
      </c>
      <c r="F10" s="49" t="n">
        <f aca="false">IF($D10="","",IFERROR(INDEX(ตั้งค่า!$B$6:$B$11,MATCH(D10,ตั้งค่า!$A$6:$A$11,0)),1))</f>
        <v>6</v>
      </c>
      <c r="G10" s="13" t="n">
        <f aca="false">IF($D10="","",E10*F10)</f>
        <v>150000</v>
      </c>
      <c r="H10" s="44" t="s">
        <v>155</v>
      </c>
      <c r="I10" s="13" t="n">
        <f aca="false">IF($D10="","",IFERROR(INDEX(ตั้งค่า!$B$14:$B$16,MATCH(H10,ตั้งค่า!$A$14:$A$16,0)),0))</f>
        <v>0</v>
      </c>
      <c r="J10" s="44" t="s">
        <v>166</v>
      </c>
      <c r="K10" s="12" t="n">
        <f aca="false">IF($D10="","",IF(AND(F10=1,LEFT(J10,4)="ผ่อน"),ตั้งค่า!$B$21,IFERROR(INDEX(ตั้งค่า!$B$20:$B$24,MATCH(J10,ตั้งค่า!$A$20:$A$24,0)),0)))</f>
        <v>0.05</v>
      </c>
      <c r="L10" s="13" t="n">
        <f aca="false">IF($D10="","",G10*K10*(1+ตั้งค่า!$B$26))</f>
        <v>8025</v>
      </c>
      <c r="M10" s="13" t="n">
        <f aca="false">IF($D10="","",IF(J10="โอน / เงินสด",0,I10*ตั้งค่า!$B$21*(1+ตั้งค่า!$B$26)))</f>
        <v>0</v>
      </c>
      <c r="N10" s="13" t="n">
        <f aca="false">IF($D10="","",L10/F10+M10)</f>
        <v>1337.5</v>
      </c>
      <c r="O10" s="13" t="n">
        <f aca="false">IF($D10="","",E10+I10)</f>
        <v>25000</v>
      </c>
      <c r="P10" s="13" t="n">
        <f aca="false">IF($D10="","",O10-N10)</f>
        <v>23662.5</v>
      </c>
      <c r="Q10" s="13" t="n">
        <f aca="false">IF($D10="","",G10+I10-L10-M10)</f>
        <v>141975</v>
      </c>
      <c r="R10" s="6" t="str">
        <f aca="false">IF($D10="","",IF(AND(F10=1,LEFT(J10,4)="ผ่อน"),"จ่ายรายเดือนผ่อนไม่ได้ คิดเป็นรูดบัตร",""))</f>
        <v/>
      </c>
    </row>
    <row r="11" customFormat="false" ht="15" hidden="false" customHeight="false" outlineLevel="0" collapsed="false">
      <c r="A11" s="49" t="n">
        <v>7</v>
      </c>
      <c r="B11" s="44"/>
      <c r="C11" s="44" t="s">
        <v>72</v>
      </c>
      <c r="D11" s="44" t="s">
        <v>145</v>
      </c>
      <c r="E11" s="13" t="n">
        <f aca="false">IF($D11="","",IFERROR(INDEX(ตั้งค่า!$C$6:$D$11,MATCH(D11,ตั้งค่า!$A$6:$A$11,0),MATCH(C11,ตั้งค่า!$C$5:$D$5,0)),0))</f>
        <v>24500</v>
      </c>
      <c r="F11" s="49" t="n">
        <f aca="false">IF($D11="","",IFERROR(INDEX(ตั้งค่า!$B$6:$B$11,MATCH(D11,ตั้งค่า!$A$6:$A$11,0)),1))</f>
        <v>6</v>
      </c>
      <c r="G11" s="13" t="n">
        <f aca="false">IF($D11="","",E11*F11)</f>
        <v>147000</v>
      </c>
      <c r="H11" s="44" t="s">
        <v>155</v>
      </c>
      <c r="I11" s="13" t="n">
        <f aca="false">IF($D11="","",IFERROR(INDEX(ตั้งค่า!$B$14:$B$16,MATCH(H11,ตั้งค่า!$A$14:$A$16,0)),0))</f>
        <v>0</v>
      </c>
      <c r="J11" s="44" t="s">
        <v>166</v>
      </c>
      <c r="K11" s="12" t="n">
        <f aca="false">IF($D11="","",IF(AND(F11=1,LEFT(J11,4)="ผ่อน"),ตั้งค่า!$B$21,IFERROR(INDEX(ตั้งค่า!$B$20:$B$24,MATCH(J11,ตั้งค่า!$A$20:$A$24,0)),0)))</f>
        <v>0.05</v>
      </c>
      <c r="L11" s="13" t="n">
        <f aca="false">IF($D11="","",G11*K11*(1+ตั้งค่า!$B$26))</f>
        <v>7864.5</v>
      </c>
      <c r="M11" s="13" t="n">
        <f aca="false">IF($D11="","",IF(J11="โอน / เงินสด",0,I11*ตั้งค่า!$B$21*(1+ตั้งค่า!$B$26)))</f>
        <v>0</v>
      </c>
      <c r="N11" s="13" t="n">
        <f aca="false">IF($D11="","",L11/F11+M11)</f>
        <v>1310.75</v>
      </c>
      <c r="O11" s="13" t="n">
        <f aca="false">IF($D11="","",E11+I11)</f>
        <v>24500</v>
      </c>
      <c r="P11" s="13" t="n">
        <f aca="false">IF($D11="","",O11-N11)</f>
        <v>23189.25</v>
      </c>
      <c r="Q11" s="13" t="n">
        <f aca="false">IF($D11="","",G11+I11-L11-M11)</f>
        <v>139135.5</v>
      </c>
      <c r="R11" s="6" t="str">
        <f aca="false">IF($D11="","",IF(AND(F11=1,LEFT(J11,4)="ผ่อน"),"จ่ายรายเดือนผ่อนไม่ได้ คิดเป็นรูดบัตร",""))</f>
        <v/>
      </c>
    </row>
    <row r="12" customFormat="false" ht="15" hidden="false" customHeight="false" outlineLevel="0" collapsed="false">
      <c r="A12" s="49" t="n">
        <v>8</v>
      </c>
      <c r="B12" s="44"/>
      <c r="C12" s="44" t="s">
        <v>72</v>
      </c>
      <c r="D12" s="44" t="s">
        <v>144</v>
      </c>
      <c r="E12" s="13" t="n">
        <f aca="false">IF($D12="","",IFERROR(INDEX(ตั้งค่า!$C$6:$D$11,MATCH(D12,ตั้งค่า!$A$6:$A$11,0),MATCH(C12,ตั้งค่า!$C$5:$D$5,0)),0))</f>
        <v>25500</v>
      </c>
      <c r="F12" s="49" t="n">
        <f aca="false">IF($D12="","",IFERROR(INDEX(ตั้งค่า!$B$6:$B$11,MATCH(D12,ตั้งค่า!$A$6:$A$11,0)),1))</f>
        <v>3</v>
      </c>
      <c r="G12" s="13" t="n">
        <f aca="false">IF($D12="","",E12*F12)</f>
        <v>76500</v>
      </c>
      <c r="H12" s="44" t="s">
        <v>157</v>
      </c>
      <c r="I12" s="13" t="n">
        <f aca="false">IF($D12="","",IFERROR(INDEX(ตั้งค่า!$B$14:$B$16,MATCH(H12,ตั้งค่า!$A$14:$A$16,0)),0))</f>
        <v>6000</v>
      </c>
      <c r="J12" s="44" t="s">
        <v>161</v>
      </c>
      <c r="K12" s="12" t="n">
        <f aca="false">IF($D12="","",IF(AND(F12=1,LEFT(J12,4)="ผ่อน"),ตั้งค่า!$B$21,IFERROR(INDEX(ตั้งค่า!$B$20:$B$24,MATCH(J12,ตั้งค่า!$A$20:$A$24,0)),0)))</f>
        <v>0</v>
      </c>
      <c r="L12" s="13" t="n">
        <f aca="false">IF($D12="","",G12*K12*(1+ตั้งค่า!$B$26))</f>
        <v>0</v>
      </c>
      <c r="M12" s="13" t="n">
        <f aca="false">IF($D12="","",IF(J12="โอน / เงินสด",0,I12*ตั้งค่า!$B$21*(1+ตั้งค่า!$B$26)))</f>
        <v>0</v>
      </c>
      <c r="N12" s="13" t="n">
        <f aca="false">IF($D12="","",L12/F12+M12)</f>
        <v>0</v>
      </c>
      <c r="O12" s="13" t="n">
        <f aca="false">IF($D12="","",E12+I12)</f>
        <v>31500</v>
      </c>
      <c r="P12" s="13" t="n">
        <f aca="false">IF($D12="","",O12-N12)</f>
        <v>31500</v>
      </c>
      <c r="Q12" s="13" t="n">
        <f aca="false">IF($D12="","",G12+I12-L12-M12)</f>
        <v>82500</v>
      </c>
      <c r="R12" s="6" t="str">
        <f aca="false">IF($D12="","",IF(AND(F12=1,LEFT(J12,4)="ผ่อน"),"จ่ายรายเดือนผ่อนไม่ได้ คิดเป็นรูดบัตร",""))</f>
        <v/>
      </c>
    </row>
    <row r="13" customFormat="false" ht="15" hidden="false" customHeight="false" outlineLevel="0" collapsed="false">
      <c r="A13" s="49" t="n">
        <v>9</v>
      </c>
      <c r="B13" s="44"/>
      <c r="C13" s="44" t="s">
        <v>72</v>
      </c>
      <c r="D13" s="44" t="s">
        <v>144</v>
      </c>
      <c r="E13" s="13" t="n">
        <f aca="false">IF($D13="","",IFERROR(INDEX(ตั้งค่า!$C$6:$D$11,MATCH(D13,ตั้งค่า!$A$6:$A$11,0),MATCH(C13,ตั้งค่า!$C$5:$D$5,0)),0))</f>
        <v>25500</v>
      </c>
      <c r="F13" s="49" t="n">
        <f aca="false">IF($D13="","",IFERROR(INDEX(ตั้งค่า!$B$6:$B$11,MATCH(D13,ตั้งค่า!$A$6:$A$11,0)),1))</f>
        <v>3</v>
      </c>
      <c r="G13" s="13" t="n">
        <f aca="false">IF($D13="","",E13*F13)</f>
        <v>76500</v>
      </c>
      <c r="H13" s="44" t="s">
        <v>155</v>
      </c>
      <c r="I13" s="13" t="n">
        <f aca="false">IF($D13="","",IFERROR(INDEX(ตั้งค่า!$B$14:$B$16,MATCH(H13,ตั้งค่า!$A$14:$A$16,0)),0))</f>
        <v>0</v>
      </c>
      <c r="J13" s="44" t="s">
        <v>161</v>
      </c>
      <c r="K13" s="12" t="n">
        <f aca="false">IF($D13="","",IF(AND(F13=1,LEFT(J13,4)="ผ่อน"),ตั้งค่า!$B$21,IFERROR(INDEX(ตั้งค่า!$B$20:$B$24,MATCH(J13,ตั้งค่า!$A$20:$A$24,0)),0)))</f>
        <v>0</v>
      </c>
      <c r="L13" s="13" t="n">
        <f aca="false">IF($D13="","",G13*K13*(1+ตั้งค่า!$B$26))</f>
        <v>0</v>
      </c>
      <c r="M13" s="13" t="n">
        <f aca="false">IF($D13="","",IF(J13="โอน / เงินสด",0,I13*ตั้งค่า!$B$21*(1+ตั้งค่า!$B$26)))</f>
        <v>0</v>
      </c>
      <c r="N13" s="13" t="n">
        <f aca="false">IF($D13="","",L13/F13+M13)</f>
        <v>0</v>
      </c>
      <c r="O13" s="13" t="n">
        <f aca="false">IF($D13="","",E13+I13)</f>
        <v>25500</v>
      </c>
      <c r="P13" s="13" t="n">
        <f aca="false">IF($D13="","",O13-N13)</f>
        <v>25500</v>
      </c>
      <c r="Q13" s="13" t="n">
        <f aca="false">IF($D13="","",G13+I13-L13-M13)</f>
        <v>76500</v>
      </c>
      <c r="R13" s="6" t="str">
        <f aca="false">IF($D13="","",IF(AND(F13=1,LEFT(J13,4)="ผ่อน"),"จ่ายรายเดือนผ่อนไม่ได้ คิดเป็นรูดบัตร",""))</f>
        <v/>
      </c>
    </row>
    <row r="14" customFormat="false" ht="15" hidden="false" customHeight="false" outlineLevel="0" collapsed="false">
      <c r="A14" s="49" t="n">
        <v>10</v>
      </c>
      <c r="B14" s="44"/>
      <c r="C14" s="44" t="s">
        <v>72</v>
      </c>
      <c r="D14" s="44" t="s">
        <v>143</v>
      </c>
      <c r="E14" s="13" t="n">
        <f aca="false">IF($D14="","",IFERROR(INDEX(ตั้งค่า!$C$6:$D$11,MATCH(D14,ตั้งค่า!$A$6:$A$11,0),MATCH(C14,ตั้งค่า!$C$5:$D$5,0)),0))</f>
        <v>27000</v>
      </c>
      <c r="F14" s="49" t="n">
        <f aca="false">IF($D14="","",IFERROR(INDEX(ตั้งค่า!$B$6:$B$11,MATCH(D14,ตั้งค่า!$A$6:$A$11,0)),1))</f>
        <v>1</v>
      </c>
      <c r="G14" s="13" t="n">
        <f aca="false">IF($D14="","",E14*F14)</f>
        <v>27000</v>
      </c>
      <c r="H14" s="44" t="s">
        <v>155</v>
      </c>
      <c r="I14" s="13" t="n">
        <f aca="false">IF($D14="","",IFERROR(INDEX(ตั้งค่า!$B$14:$B$16,MATCH(H14,ตั้งค่า!$A$14:$A$16,0)),0))</f>
        <v>0</v>
      </c>
      <c r="J14" s="44" t="s">
        <v>161</v>
      </c>
      <c r="K14" s="12" t="n">
        <f aca="false">IF($D14="","",IF(AND(F14=1,LEFT(J14,4)="ผ่อน"),ตั้งค่า!$B$21,IFERROR(INDEX(ตั้งค่า!$B$20:$B$24,MATCH(J14,ตั้งค่า!$A$20:$A$24,0)),0)))</f>
        <v>0</v>
      </c>
      <c r="L14" s="13" t="n">
        <f aca="false">IF($D14="","",G14*K14*(1+ตั้งค่า!$B$26))</f>
        <v>0</v>
      </c>
      <c r="M14" s="13" t="n">
        <f aca="false">IF($D14="","",IF(J14="โอน / เงินสด",0,I14*ตั้งค่า!$B$21*(1+ตั้งค่า!$B$26)))</f>
        <v>0</v>
      </c>
      <c r="N14" s="13" t="n">
        <f aca="false">IF($D14="","",L14/F14+M14)</f>
        <v>0</v>
      </c>
      <c r="O14" s="13" t="n">
        <f aca="false">IF($D14="","",E14+I14)</f>
        <v>27000</v>
      </c>
      <c r="P14" s="13" t="n">
        <f aca="false">IF($D14="","",O14-N14)</f>
        <v>27000</v>
      </c>
      <c r="Q14" s="13" t="n">
        <f aca="false">IF($D14="","",G14+I14-L14-M14)</f>
        <v>27000</v>
      </c>
      <c r="R14" s="6" t="str">
        <f aca="false">IF($D14="","",IF(AND(F14=1,LEFT(J14,4)="ผ่อน"),"จ่ายรายเดือนผ่อนไม่ได้ คิดเป็นรูดบัตร",""))</f>
        <v/>
      </c>
    </row>
    <row r="15" customFormat="false" ht="15" hidden="false" customHeight="false" outlineLevel="0" collapsed="false">
      <c r="A15" s="14" t="s">
        <v>76</v>
      </c>
      <c r="B15" s="14"/>
      <c r="C15" s="14"/>
      <c r="D15" s="14"/>
      <c r="E15" s="15" t="n">
        <f aca="false">SUM(E5:E14)</f>
        <v>234200</v>
      </c>
      <c r="F15" s="14"/>
      <c r="G15" s="15" t="n">
        <f aca="false">SUM(G5:G14)</f>
        <v>797100</v>
      </c>
      <c r="H15" s="14"/>
      <c r="I15" s="15" t="n">
        <f aca="false">SUM(I5:I14)</f>
        <v>14000</v>
      </c>
      <c r="J15" s="14"/>
      <c r="K15" s="14"/>
      <c r="L15" s="15" t="n">
        <f aca="false">SUM(L5:L14)</f>
        <v>21090.984</v>
      </c>
      <c r="M15" s="15" t="n">
        <f aca="false">SUM(M5:M14)</f>
        <v>68.48</v>
      </c>
      <c r="N15" s="15" t="n">
        <f aca="false">SUM(N5:N14)</f>
        <v>4450.558</v>
      </c>
      <c r="O15" s="15" t="n">
        <f aca="false">SUM(O5:O14)</f>
        <v>248200</v>
      </c>
      <c r="P15" s="15" t="n">
        <f aca="false">SUM(P5:P14)</f>
        <v>243749.442</v>
      </c>
      <c r="Q15" s="15" t="n">
        <f aca="false">SUM(Q5:Q14)</f>
        <v>789940.536</v>
      </c>
      <c r="R15" s="14"/>
    </row>
    <row r="16" customFormat="false" ht="15" hidden="false" customHeight="false" outlineLevel="0" collapsed="false">
      <c r="A16" s="43"/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</row>
    <row r="17" customFormat="false" ht="15" hidden="false" customHeight="false" outlineLevel="0" collapsed="false">
      <c r="A17" s="4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</row>
    <row r="18" customFormat="false" ht="15" hidden="false" customHeight="false" outlineLevel="0" collapsed="false">
      <c r="A18" s="50" t="s">
        <v>198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</row>
    <row r="19" customFormat="false" ht="15" hidden="false" customHeight="false" outlineLevel="0" collapsed="false">
      <c r="A19" s="6" t="s">
        <v>11</v>
      </c>
      <c r="B19" s="6"/>
      <c r="C19" s="6"/>
      <c r="D19" s="39" t="n">
        <f aca="false">COUNTIF(D5:D14,"?*")</f>
        <v>10</v>
      </c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</row>
    <row r="20" customFormat="false" ht="15" hidden="false" customHeight="false" outlineLevel="0" collapsed="false">
      <c r="A20" s="6" t="s">
        <v>199</v>
      </c>
      <c r="B20" s="6"/>
      <c r="C20" s="6"/>
      <c r="D20" s="39" t="n">
        <f aca="false">COUNTIFS(D5:D14,"?*",J5:J14,"โอน / เงินสด")</f>
        <v>5</v>
      </c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customFormat="false" ht="15" hidden="false" customHeight="false" outlineLevel="0" collapsed="false">
      <c r="A21" s="6" t="s">
        <v>200</v>
      </c>
      <c r="B21" s="6"/>
      <c r="C21" s="6"/>
      <c r="D21" s="39" t="n">
        <f aca="false">COUNTIFS(D5:D14,"?*",J5:J14,"รูดบัตรเครดิต")</f>
        <v>1</v>
      </c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customFormat="false" ht="15" hidden="false" customHeight="false" outlineLevel="0" collapsed="false">
      <c r="A22" s="6" t="s">
        <v>201</v>
      </c>
      <c r="B22" s="6"/>
      <c r="C22" s="6"/>
      <c r="D22" s="39" t="n">
        <f aca="false">COUNTIFS(D5:D14,"?*",J5:J14,"ผ่อน*")</f>
        <v>4</v>
      </c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</row>
    <row r="23" customFormat="false" ht="15" hidden="false" customHeight="false" outlineLevel="0" collapsed="false">
      <c r="A23" s="6" t="s">
        <v>202</v>
      </c>
      <c r="B23" s="6"/>
      <c r="C23" s="6"/>
      <c r="D23" s="38" t="n">
        <f aca="false">O15</f>
        <v>248200</v>
      </c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</row>
    <row r="24" customFormat="false" ht="15" hidden="false" customHeight="false" outlineLevel="0" collapsed="false">
      <c r="A24" s="6" t="s">
        <v>203</v>
      </c>
      <c r="B24" s="6"/>
      <c r="C24" s="6"/>
      <c r="D24" s="38" t="n">
        <f aca="false">N15</f>
        <v>4450.558</v>
      </c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</row>
    <row r="25" customFormat="false" ht="15" hidden="false" customHeight="false" outlineLevel="0" collapsed="false">
      <c r="A25" s="6" t="s">
        <v>204</v>
      </c>
      <c r="B25" s="6"/>
      <c r="C25" s="6"/>
      <c r="D25" s="51" t="n">
        <f aca="false">IF(O15=0,0,N15/O15)</f>
        <v>0.0179313376309428</v>
      </c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</row>
    <row r="26" customFormat="false" ht="15" hidden="false" customHeight="false" outlineLevel="0" collapsed="false">
      <c r="A26" s="6" t="s">
        <v>205</v>
      </c>
      <c r="B26" s="6"/>
      <c r="C26" s="6"/>
      <c r="D26" s="38" t="n">
        <f aca="false">P15</f>
        <v>243749.442</v>
      </c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</row>
    <row r="27" customFormat="false" ht="15" hidden="false" customHeight="false" outlineLevel="0" collapsed="false">
      <c r="A27" s="6" t="s">
        <v>206</v>
      </c>
      <c r="B27" s="6"/>
      <c r="C27" s="6"/>
      <c r="D27" s="38" t="n">
        <f aca="false">N15*12</f>
        <v>53406.696</v>
      </c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customFormat="false" ht="15" hidden="false" customHeight="false" outlineLevel="0" collapsed="false">
      <c r="A28" s="6" t="s">
        <v>207</v>
      </c>
      <c r="B28" s="6"/>
      <c r="C28" s="6"/>
      <c r="D28" s="38" t="n">
        <f aca="false">Q15</f>
        <v>789940.536</v>
      </c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</row>
    <row r="29" customFormat="false" ht="15" hidden="false" customHeight="false" outlineLevel="0" collapsed="false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</row>
    <row r="30" customFormat="false" ht="15" hidden="false" customHeight="false" outlineLevel="0" collapsed="false">
      <c r="A30" s="26" t="s">
        <v>208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</row>
    <row r="31" customFormat="false" ht="15" hidden="false" customHeight="false" outlineLevel="0" collapsed="false">
      <c r="A31" s="27" t="s">
        <v>209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</row>
    <row r="32" customFormat="false" ht="15" hidden="false" customHeight="false" outlineLevel="0" collapsed="false">
      <c r="A32" s="27" t="s">
        <v>210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</row>
    <row r="33" customFormat="false" ht="15" hidden="false" customHeight="false" outlineLevel="0" collapsed="false">
      <c r="A33" s="27" t="s">
        <v>211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</row>
    <row r="34" customFormat="false" ht="15" hidden="false" customHeight="false" outlineLevel="0" collapsed="false">
      <c r="A34" s="27" t="s">
        <v>212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</row>
    <row r="35" customFormat="false" ht="15" hidden="false" customHeight="false" outlineLevel="0" collapsed="false">
      <c r="A35" s="27" t="s">
        <v>213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</row>
    <row r="36" customFormat="false" ht="15" hidden="false" customHeight="false" outlineLevel="0" collapsed="false">
      <c r="A36" s="27" t="s">
        <v>214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</row>
    <row r="37" customFormat="false" ht="15" hidden="false" customHeight="false" outlineLevel="0" collapsed="false">
      <c r="A37" s="27" t="s">
        <v>215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</sheetData>
  <mergeCells count="11">
    <mergeCell ref="A15:D15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</mergeCells>
  <dataValidations count="4"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C5:C14" type="list">
      <formula1>ตั้งค่า!$C$5:$D$5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D5:D14" type="list">
      <formula1>ตั้งค่า!$A$6:$A$11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H5:H14" type="list">
      <formula1>ตั้งค่า!$A$14:$A$16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J5:J14" type="list">
      <formula1>ตั้งค่า!$A$20:$A$24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2026-09-29T19:26:36Z</dcterms:created>
  <dc:creator>openpyxl</dc:creator>
  <dc:description/>
  <dc:language>en-US</dc:language>
  <cp:lastModifiedBy/>
  <dcterms:modified xsi:type="dcterms:W3CDTF">2026-09-29T19:26:36Z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