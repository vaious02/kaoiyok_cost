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ตั้งค่า" sheetId="1" state="visible" r:id="rId3"/>
    <sheet name="จ่ายรายคน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<sst xmlns="http://schemas.openxmlformats.org/spreadsheetml/2006/main" count="109" uniqueCount="66">
  <si>
    <t xml:space="preserve">ตั้งค่าราคาและค่าธรรมเนียม</t>
  </si>
  <si>
    <t xml:space="preserve">ช่องตัวเลขสีน้ำเงินพื้นเหลือง = แก้ได้ · ค่าตั้งต้นมาจากเว็บคำนวณต้นทุนต่อเตียง (ค่าธรรมเนียมเป็นค่าประมาณ ควรแก้ตามใบเสนอราคาจริงของธนาคาร)</t>
  </si>
  <si>
    <t xml:space="preserve">ราคาค่าห้องต่อเดือน (บาท)</t>
  </si>
  <si>
    <t xml:space="preserve">แบบจ่าย</t>
  </si>
  <si>
    <t xml:space="preserve">จ่ายครั้งละ (เดือน)</t>
  </si>
  <si>
    <t xml:space="preserve">ห้องรวม 6 เตียง</t>
  </si>
  <si>
    <t xml:space="preserve">ห้องรวม 4 เตียง</t>
  </si>
  <si>
    <t xml:space="preserve">รายเดือน</t>
  </si>
  <si>
    <t xml:space="preserve">ล่วงหน้า 3 เดือน</t>
  </si>
  <si>
    <t xml:space="preserve">ล่วงหน้า 6 เดือน</t>
  </si>
  <si>
    <t xml:space="preserve">โปรเปิดศูนย์</t>
  </si>
  <si>
    <t xml:space="preserve">โปรจ่ายล่วงหน้า 3 เดือน · หลังหมดโปรใช้ราคาปกติ</t>
  </si>
  <si>
    <t xml:space="preserve">ค่าดูแลเพิ่ม (บาท/เดือน)</t>
  </si>
  <si>
    <t xml:space="preserve">ประเภท</t>
  </si>
  <si>
    <t xml:space="preserve">บาท/เดือน</t>
  </si>
  <si>
    <t xml:space="preserve">ไม่มี</t>
  </si>
  <si>
    <t xml:space="preserve">ติดเตียง</t>
  </si>
  <si>
    <t xml:space="preserve">ติดเตียงมีสาย</t>
  </si>
  <si>
    <t xml:space="preserve">ค่าธรรมเนียมที่ร้านจ่าย</t>
  </si>
  <si>
    <t xml:space="preserve">วิธีจ่าย</t>
  </si>
  <si>
    <t xml:space="preserve">% ของยอด (ก่อน VAT)</t>
  </si>
  <si>
    <t xml:space="preserve">โอน / เงินสด</t>
  </si>
  <si>
    <t xml:space="preserve">รูดบัตรเครดิต</t>
  </si>
  <si>
    <t xml:space="preserve">MDR เช่น กสิกรไทย บัตรในประเทศทั่วไป 1.60% (kasikornbank.com)</t>
  </si>
  <si>
    <t xml:space="preserve">ผ่อน 0% 3 เดือน</t>
  </si>
  <si>
    <t xml:space="preserve">ผ่อน 0%: ค่าประมาณช่วงที่พบในตลาด ร้านเป็นคนออกดอกเบี้ย</t>
  </si>
  <si>
    <t xml:space="preserve">ผ่อน 0% 6 เดือน</t>
  </si>
  <si>
    <t xml:space="preserve">ผ่อน 0% 10 เดือน</t>
  </si>
  <si>
    <t xml:space="preserve">VAT ของค่าธรรมเนียม</t>
  </si>
  <si>
    <t xml:space="preserve">ธนาคารเก็บ VAT 7% ของค่าธรรมเนียม</t>
  </si>
  <si>
    <t xml:space="preserve">การจ่ายเงินรายคน · 10 เตียง</t>
  </si>
  <si>
    <t xml:space="preserve">กรอกเฉพาะช่องพื้นเหลือง (ชื่อ ห้อง แบบจ่าย ค่าดูแล วิธีจ่าย) ที่เหลือคำนวณเอง · ตัวอย่างใส่ไว้ให้แล้ว แก้ทับได้ · ลบแบบจ่ายออก = เตียงว่าง</t>
  </si>
  <si>
    <t xml:space="preserve">เตียง</t>
  </si>
  <si>
    <t xml:space="preserve">ชื่อผู้พัก</t>
  </si>
  <si>
    <t xml:space="preserve">ห้อง</t>
  </si>
  <si>
    <t xml:space="preserve">ค่าห้อง / เดือน</t>
  </si>
  <si>
    <t xml:space="preserve">ยอดค่าห้องต่อครั้ง</t>
  </si>
  <si>
    <t xml:space="preserve">ค่าดูแล</t>
  </si>
  <si>
    <t xml:space="preserve">ค่าดูแล / เดือน</t>
  </si>
  <si>
    <t xml:space="preserve">% ที่ร้านจ่าย</t>
  </si>
  <si>
    <t xml:space="preserve">ค่าธรรมเนียมค่าห้อง ต่อครั้ง (รวม VAT)</t>
  </si>
  <si>
    <t xml:space="preserve">ค่าธรรมเนียมค่าดูแล / เดือน (รวม VAT)</t>
  </si>
  <si>
    <t xml:space="preserve">ค่าธรรมเนียมเฉลี่ย / เดือน</t>
  </si>
  <si>
    <t xml:space="preserve">รายรับ / เดือน</t>
  </si>
  <si>
    <t xml:space="preserve">รับสุทธิ / เดือน</t>
  </si>
  <si>
    <t xml:space="preserve">เงินเข้าครั้งแรก (หักค่าธรรมเนียมแล้ว)</t>
  </si>
  <si>
    <t xml:space="preserve">หมายเหตุ</t>
  </si>
  <si>
    <t xml:space="preserve">รวม</t>
  </si>
  <si>
    <t xml:space="preserve">สรุป</t>
  </si>
  <si>
    <t xml:space="preserve">ผู้พัก (คน)</t>
  </si>
  <si>
    <t xml:space="preserve">จ่ายโอน / เงินสด (คน)</t>
  </si>
  <si>
    <t xml:space="preserve">รูดบัตรเครดิต (คน)</t>
  </si>
  <si>
    <t xml:space="preserve">ผ่อน 0% (คน)</t>
  </si>
  <si>
    <t xml:space="preserve">รายรับรวม / เดือน (บาท)</t>
  </si>
  <si>
    <t xml:space="preserve">ค่าธรรมเนียมเฉลี่ย / เดือน (บาท)</t>
  </si>
  <si>
    <t xml:space="preserve">ค่าธรรมเนียม % ของรายรับ</t>
  </si>
  <si>
    <t xml:space="preserve">รับสุทธิ / เดือน (บาท)</t>
  </si>
  <si>
    <t xml:space="preserve">ค่าธรรมเนียมทั้งปี โดยประมาณ (บาท)</t>
  </si>
  <si>
    <t xml:space="preserve">เงินเข้าครั้งแรกรวม (บาท)</t>
  </si>
  <si>
    <t xml:space="preserve">วิธีคิด</t>
  </si>
  <si>
    <t xml:space="preserve">• ค่าห้อง / เดือน และจ่ายครั้งละกี่เดือน ดึงจากชีต "ตั้งค่า" ตามห้องและแบบจ่าย</t>
  </si>
  <si>
    <t xml:space="preserve">• ค่าธรรมเนียมค่าห้องต่อครั้ง = ยอดค่าห้องต่อครั้ง × % ที่ร้านจ่าย × (1 + VAT 7%) · จ่ายล่วงหน้าโดนหักครั้งเดียวจากยอดทั้งก้อน</t>
  </si>
  <si>
    <t xml:space="preserve">• ค่าดูแลเก็บรายเดือน: ถ้าคนนั้นรูดบัตรหรือผ่อน คิดค่าดูแลเป็นรูดบัตร (MDR) ทุกเดือน ถ้าโอน/เงินสด ไม่มีค่าธรรมเนียม</t>
  </si>
  <si>
    <t xml:space="preserve">• ค่าธรรมเนียมเฉลี่ย / เดือน = ค่าธรรมเนียมค่าห้องต่อครั้ง ÷ จำนวนเดือน + ค่าธรรมเนียมค่าดูแล / เดือน</t>
  </si>
  <si>
    <t xml:space="preserve">• คนที่จ่ายรายเดือนเลือกผ่อน 0% ไม่ได้ ถ้าเลือกไว้ ตารางจะคิดเป็นรูดบัตรและขึ้นหมายเหตุ</t>
  </si>
  <si>
    <t xml:space="preserve">• แพมเพิร์ส ค่าเวชภัณฑ์ และยา เก็บตามใช้จริง ไม่ได้รวมในตารางนี้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</si>
</sst>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%;\(0.00%\);\-"/>
    <numFmt numFmtId="167" formatCode="0.0%;\(0.0%\);\-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sz val="10"/>
      <name val="Tahoma"/>
      <family val="0"/>
      <charset val="1"/>
    </font>
    <font>
      <i val="true"/>
      <sz val="10"/>
      <color rgb="FF555555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FF"/>
      <name val="Tahoma"/>
      <family val="0"/>
      <charset val="1"/>
    </font>
    <font>
      <b val="true"/>
      <sz val="12"/>
      <name val="Tahoma"/>
      <family val="0"/>
      <charset val="1"/>
    </font>
    <font>
      <sz val="10"/>
      <color rgb="FF444444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9E1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2"/>
    </row>
    <row r="6" customFormat="false" ht="15" hidden="false" customHeight="false" outlineLevel="0" collapsed="false">
      <c r="A6" s="6" t="s">
        <v>7</v>
      </c>
      <c r="B6" s="6" t="n">
        <v>1</v>
      </c>
      <c r="C6" s="7" t="n">
        <v>25000</v>
      </c>
      <c r="D6" s="7" t="n">
        <v>27000</v>
      </c>
      <c r="E6" s="2"/>
    </row>
    <row r="7" customFormat="false" ht="15" hidden="false" customHeight="false" outlineLevel="0" collapsed="false">
      <c r="A7" s="6" t="s">
        <v>8</v>
      </c>
      <c r="B7" s="6" t="n">
        <v>3</v>
      </c>
      <c r="C7" s="7" t="n">
        <v>23500</v>
      </c>
      <c r="D7" s="7" t="n">
        <v>25500</v>
      </c>
      <c r="E7" s="2"/>
    </row>
    <row r="8" customFormat="false" ht="15" hidden="false" customHeight="false" outlineLevel="0" collapsed="false">
      <c r="A8" s="6" t="s">
        <v>9</v>
      </c>
      <c r="B8" s="6" t="n">
        <v>6</v>
      </c>
      <c r="C8" s="7" t="n">
        <v>22500</v>
      </c>
      <c r="D8" s="7" t="n">
        <v>24500</v>
      </c>
      <c r="E8" s="2"/>
    </row>
    <row r="9" customFormat="false" ht="15" hidden="false" customHeight="false" outlineLevel="0" collapsed="false">
      <c r="A9" s="6" t="s">
        <v>10</v>
      </c>
      <c r="B9" s="6" t="n">
        <v>3</v>
      </c>
      <c r="C9" s="7" t="n">
        <v>19900</v>
      </c>
      <c r="D9" s="7" t="n">
        <v>19900</v>
      </c>
      <c r="E9" s="3" t="s">
        <v>11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4" t="s">
        <v>12</v>
      </c>
      <c r="B12" s="2"/>
      <c r="C12" s="2"/>
      <c r="D12" s="2"/>
      <c r="E12" s="2"/>
    </row>
    <row r="13" customFormat="false" ht="15" hidden="false" customHeight="false" outlineLevel="0" collapsed="false">
      <c r="A13" s="5" t="s">
        <v>13</v>
      </c>
      <c r="B13" s="5" t="s">
        <v>14</v>
      </c>
      <c r="C13" s="2"/>
      <c r="D13" s="2"/>
      <c r="E13" s="2"/>
    </row>
    <row r="14" customFormat="false" ht="15" hidden="false" customHeight="false" outlineLevel="0" collapsed="false">
      <c r="A14" s="6" t="s">
        <v>15</v>
      </c>
      <c r="B14" s="7" t="n">
        <v>0</v>
      </c>
      <c r="C14" s="2"/>
      <c r="D14" s="2"/>
      <c r="E14" s="2"/>
    </row>
    <row r="15" customFormat="false" ht="15" hidden="false" customHeight="false" outlineLevel="0" collapsed="false">
      <c r="A15" s="6" t="s">
        <v>16</v>
      </c>
      <c r="B15" s="7" t="n">
        <v>4000</v>
      </c>
      <c r="C15" s="2"/>
      <c r="D15" s="2"/>
      <c r="E15" s="2"/>
    </row>
    <row r="16" customFormat="false" ht="15" hidden="false" customHeight="false" outlineLevel="0" collapsed="false">
      <c r="A16" s="6" t="s">
        <v>17</v>
      </c>
      <c r="B16" s="7" t="n">
        <v>6000</v>
      </c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4" t="s">
        <v>18</v>
      </c>
      <c r="B18" s="2"/>
      <c r="C18" s="2"/>
      <c r="D18" s="2"/>
      <c r="E18" s="2"/>
    </row>
    <row r="19" customFormat="false" ht="15" hidden="false" customHeight="false" outlineLevel="0" collapsed="false">
      <c r="A19" s="5" t="s">
        <v>19</v>
      </c>
      <c r="B19" s="5" t="s">
        <v>20</v>
      </c>
      <c r="C19" s="2"/>
      <c r="D19" s="2"/>
      <c r="E19" s="2"/>
    </row>
    <row r="20" customFormat="false" ht="15" hidden="false" customHeight="false" outlineLevel="0" collapsed="false">
      <c r="A20" s="6" t="s">
        <v>21</v>
      </c>
      <c r="B20" s="8" t="n">
        <v>0</v>
      </c>
      <c r="C20" s="2"/>
      <c r="D20" s="2"/>
      <c r="E20" s="2"/>
    </row>
    <row r="21" customFormat="false" ht="15" hidden="false" customHeight="false" outlineLevel="0" collapsed="false">
      <c r="A21" s="6" t="s">
        <v>22</v>
      </c>
      <c r="B21" s="8" t="n">
        <v>0.016</v>
      </c>
      <c r="C21" s="3" t="s">
        <v>23</v>
      </c>
      <c r="D21" s="2"/>
      <c r="E21" s="2"/>
    </row>
    <row r="22" customFormat="false" ht="15" hidden="false" customHeight="false" outlineLevel="0" collapsed="false">
      <c r="A22" s="6" t="s">
        <v>24</v>
      </c>
      <c r="B22" s="8" t="n">
        <v>0.03</v>
      </c>
      <c r="C22" s="3" t="s">
        <v>25</v>
      </c>
      <c r="D22" s="2"/>
      <c r="E22" s="2"/>
    </row>
    <row r="23" customFormat="false" ht="15" hidden="false" customHeight="false" outlineLevel="0" collapsed="false">
      <c r="A23" s="6" t="s">
        <v>26</v>
      </c>
      <c r="B23" s="8" t="n">
        <v>0.05</v>
      </c>
      <c r="C23" s="2"/>
      <c r="D23" s="2"/>
      <c r="E23" s="2"/>
    </row>
    <row r="24" customFormat="false" ht="15" hidden="false" customHeight="false" outlineLevel="0" collapsed="false">
      <c r="A24" s="6" t="s">
        <v>27</v>
      </c>
      <c r="B24" s="8" t="n">
        <v>0.07</v>
      </c>
      <c r="C24" s="2"/>
      <c r="D24" s="2"/>
      <c r="E24" s="2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2" t="s">
        <v>28</v>
      </c>
      <c r="B26" s="9" t="n">
        <v>0.07</v>
      </c>
      <c r="C26" s="3" t="s">
        <v>29</v>
      </c>
      <c r="D26" s="2"/>
      <c r="E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0"/>
    <col collapsed="false" customWidth="true" hidden="false" outlineLevel="0" max="13" min="12" style="0" width="15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17" min="17" style="0" width="15"/>
    <col collapsed="false" customWidth="true" hidden="false" outlineLevel="0" max="18" min="18" style="0" width="30"/>
  </cols>
  <sheetData>
    <row r="1" customFormat="false" ht="17.9" hidden="false" customHeight="false" outlineLevel="0" collapsed="false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48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</v>
      </c>
      <c r="E4" s="5" t="s">
        <v>35</v>
      </c>
      <c r="F4" s="5" t="s">
        <v>4</v>
      </c>
      <c r="G4" s="5" t="s">
        <v>36</v>
      </c>
      <c r="H4" s="5" t="s">
        <v>37</v>
      </c>
      <c r="I4" s="5" t="s">
        <v>38</v>
      </c>
      <c r="J4" s="5" t="s">
        <v>19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43</v>
      </c>
      <c r="P4" s="5" t="s">
        <v>44</v>
      </c>
      <c r="Q4" s="5" t="s">
        <v>45</v>
      </c>
      <c r="R4" s="5" t="s">
        <v>46</v>
      </c>
    </row>
    <row r="5" customFormat="false" ht="15" hidden="false" customHeight="false" outlineLevel="0" collapsed="false">
      <c r="A5" s="10" t="n">
        <v>1</v>
      </c>
      <c r="B5" s="6"/>
      <c r="C5" s="6" t="s">
        <v>5</v>
      </c>
      <c r="D5" s="6" t="s">
        <v>10</v>
      </c>
      <c r="E5" s="11" t="n">
        <f aca="false">IF($D5="","",IFERROR(INDEX(ตั้งค่า!$C$6:$D$9,MATCH(D5,ตั้งค่า!$A$6:$A$9,0),MATCH(C5,ตั้งค่า!$C$5:$D$5,0)),0))</f>
        <v>19900</v>
      </c>
      <c r="F5" s="10" t="n">
        <f aca="false">IF($D5="","",IFERROR(INDEX(ตั้งค่า!$B$6:$B$9,MATCH(D5,ตั้งค่า!$A$6:$A$9,0)),1))</f>
        <v>3</v>
      </c>
      <c r="G5" s="11" t="n">
        <f aca="false">IF($D5="","",E5*F5)</f>
        <v>59700</v>
      </c>
      <c r="H5" s="6" t="s">
        <v>15</v>
      </c>
      <c r="I5" s="11" t="n">
        <f aca="false">IF($D5="","",IFERROR(INDEX(ตั้งค่า!$B$14:$B$16,MATCH(H5,ตั้งค่า!$A$14:$A$16,0)),0))</f>
        <v>0</v>
      </c>
      <c r="J5" s="6" t="s">
        <v>24</v>
      </c>
      <c r="K5" s="12" t="n">
        <f aca="false">IF($D5="","",IF(AND(F5=1,LEFT(J5,4)="ผ่อน"),ตั้งค่า!$B$21,IFERROR(INDEX(ตั้งค่า!$B$20:$B$24,MATCH(J5,ตั้งค่า!$A$20:$A$24,0)),0)))</f>
        <v>0.03</v>
      </c>
      <c r="L5" s="11" t="n">
        <f aca="false">IF($D5="","",G5*K5*(1+ตั้งค่า!$B$26))</f>
        <v>1916.37</v>
      </c>
      <c r="M5" s="11" t="n">
        <f aca="false">IF($D5="","",IF(J5="โอน / เงินสด",0,I5*ตั้งค่า!$B$21*(1+ตั้งค่า!$B$26)))</f>
        <v>0</v>
      </c>
      <c r="N5" s="11" t="n">
        <f aca="false">IF($D5="","",L5/F5+M5)</f>
        <v>638.79</v>
      </c>
      <c r="O5" s="11" t="n">
        <f aca="false">IF($D5="","",E5+I5)</f>
        <v>19900</v>
      </c>
      <c r="P5" s="11" t="n">
        <f aca="false">IF($D5="","",O5-N5)</f>
        <v>19261.21</v>
      </c>
      <c r="Q5" s="11" t="n">
        <f aca="false">IF($D5="","",G5+I5-L5-M5)</f>
        <v>57783.63</v>
      </c>
      <c r="R5" s="13" t="str">
        <f aca="false">IF($D5="","",IF(AND(F5=1,LEFT(J5,4)="ผ่อน"),"จ่ายรายเดือนผ่อนไม่ได้ คิดเป็นรูดบัตร",""))</f>
        <v/>
      </c>
    </row>
    <row r="6" customFormat="false" ht="15" hidden="false" customHeight="false" outlineLevel="0" collapsed="false">
      <c r="A6" s="10" t="n">
        <v>2</v>
      </c>
      <c r="B6" s="6"/>
      <c r="C6" s="6" t="s">
        <v>5</v>
      </c>
      <c r="D6" s="6" t="s">
        <v>10</v>
      </c>
      <c r="E6" s="11" t="n">
        <f aca="false">IF($D6="","",IFERROR(INDEX(ตั้งค่า!$C$6:$D$9,MATCH(D6,ตั้งค่า!$A$6:$A$9,0),MATCH(C6,ตั้งค่า!$C$5:$D$5,0)),0))</f>
        <v>19900</v>
      </c>
      <c r="F6" s="10" t="n">
        <f aca="false">IF($D6="","",IFERROR(INDEX(ตั้งค่า!$B$6:$B$9,MATCH(D6,ตั้งค่า!$A$6:$A$9,0)),1))</f>
        <v>3</v>
      </c>
      <c r="G6" s="11" t="n">
        <f aca="false">IF($D6="","",E6*F6)</f>
        <v>59700</v>
      </c>
      <c r="H6" s="6" t="s">
        <v>16</v>
      </c>
      <c r="I6" s="11" t="n">
        <f aca="false">IF($D6="","",IFERROR(INDEX(ตั้งค่า!$B$14:$B$16,MATCH(H6,ตั้งค่า!$A$14:$A$16,0)),0))</f>
        <v>4000</v>
      </c>
      <c r="J6" s="6" t="s">
        <v>21</v>
      </c>
      <c r="K6" s="12" t="n">
        <f aca="false">IF($D6="","",IF(AND(F6=1,LEFT(J6,4)="ผ่อน"),ตั้งค่า!$B$21,IFERROR(INDEX(ตั้งค่า!$B$20:$B$24,MATCH(J6,ตั้งค่า!$A$20:$A$24,0)),0)))</f>
        <v>0</v>
      </c>
      <c r="L6" s="11" t="n">
        <f aca="false">IF($D6="","",G6*K6*(1+ตั้งค่า!$B$26))</f>
        <v>0</v>
      </c>
      <c r="M6" s="11" t="n">
        <f aca="false">IF($D6="","",IF(J6="โอน / เงินสด",0,I6*ตั้งค่า!$B$21*(1+ตั้งค่า!$B$26)))</f>
        <v>0</v>
      </c>
      <c r="N6" s="11" t="n">
        <f aca="false">IF($D6="","",L6/F6+M6)</f>
        <v>0</v>
      </c>
      <c r="O6" s="11" t="n">
        <f aca="false">IF($D6="","",E6+I6)</f>
        <v>23900</v>
      </c>
      <c r="P6" s="11" t="n">
        <f aca="false">IF($D6="","",O6-N6)</f>
        <v>23900</v>
      </c>
      <c r="Q6" s="11" t="n">
        <f aca="false">IF($D6="","",G6+I6-L6-M6)</f>
        <v>63700</v>
      </c>
      <c r="R6" s="13" t="str">
        <f aca="false">IF($D6="","",IF(AND(F6=1,LEFT(J6,4)="ผ่อน"),"จ่ายรายเดือนผ่อนไม่ได้ คิดเป็นรูดบัตร",""))</f>
        <v/>
      </c>
    </row>
    <row r="7" customFormat="false" ht="15" hidden="false" customHeight="false" outlineLevel="0" collapsed="false">
      <c r="A7" s="10" t="n">
        <v>3</v>
      </c>
      <c r="B7" s="6"/>
      <c r="C7" s="6" t="s">
        <v>5</v>
      </c>
      <c r="D7" s="6" t="s">
        <v>10</v>
      </c>
      <c r="E7" s="11" t="n">
        <f aca="false">IF($D7="","",IFERROR(INDEX(ตั้งค่า!$C$6:$D$9,MATCH(D7,ตั้งค่า!$A$6:$A$9,0),MATCH(C7,ตั้งค่า!$C$5:$D$5,0)),0))</f>
        <v>19900</v>
      </c>
      <c r="F7" s="10" t="n">
        <f aca="false">IF($D7="","",IFERROR(INDEX(ตั้งค่า!$B$6:$B$9,MATCH(D7,ตั้งค่า!$A$6:$A$9,0)),1))</f>
        <v>3</v>
      </c>
      <c r="G7" s="11" t="n">
        <f aca="false">IF($D7="","",E7*F7)</f>
        <v>59700</v>
      </c>
      <c r="H7" s="6" t="s">
        <v>15</v>
      </c>
      <c r="I7" s="11" t="n">
        <f aca="false">IF($D7="","",IFERROR(INDEX(ตั้งค่า!$B$14:$B$16,MATCH(H7,ตั้งค่า!$A$14:$A$16,0)),0))</f>
        <v>0</v>
      </c>
      <c r="J7" s="6" t="s">
        <v>22</v>
      </c>
      <c r="K7" s="12" t="n">
        <f aca="false">IF($D7="","",IF(AND(F7=1,LEFT(J7,4)="ผ่อน"),ตั้งค่า!$B$21,IFERROR(INDEX(ตั้งค่า!$B$20:$B$24,MATCH(J7,ตั้งค่า!$A$20:$A$24,0)),0)))</f>
        <v>0.016</v>
      </c>
      <c r="L7" s="11" t="n">
        <f aca="false">IF($D7="","",G7*K7*(1+ตั้งค่า!$B$26))</f>
        <v>1022.064</v>
      </c>
      <c r="M7" s="11" t="n">
        <f aca="false">IF($D7="","",IF(J7="โอน / เงินสด",0,I7*ตั้งค่า!$B$21*(1+ตั้งค่า!$B$26)))</f>
        <v>0</v>
      </c>
      <c r="N7" s="11" t="n">
        <f aca="false">IF($D7="","",L7/F7+M7)</f>
        <v>340.688</v>
      </c>
      <c r="O7" s="11" t="n">
        <f aca="false">IF($D7="","",E7+I7)</f>
        <v>19900</v>
      </c>
      <c r="P7" s="11" t="n">
        <f aca="false">IF($D7="","",O7-N7)</f>
        <v>19559.312</v>
      </c>
      <c r="Q7" s="11" t="n">
        <f aca="false">IF($D7="","",G7+I7-L7-M7)</f>
        <v>58677.936</v>
      </c>
      <c r="R7" s="13" t="str">
        <f aca="false">IF($D7="","",IF(AND(F7=1,LEFT(J7,4)="ผ่อน"),"จ่ายรายเดือนผ่อนไม่ได้ คิดเป็นรูดบัตร",""))</f>
        <v/>
      </c>
    </row>
    <row r="8" customFormat="false" ht="15" hidden="false" customHeight="false" outlineLevel="0" collapsed="false">
      <c r="A8" s="10" t="n">
        <v>4</v>
      </c>
      <c r="B8" s="6"/>
      <c r="C8" s="6" t="s">
        <v>5</v>
      </c>
      <c r="D8" s="6" t="s">
        <v>8</v>
      </c>
      <c r="E8" s="11" t="n">
        <f aca="false">IF($D8="","",IFERROR(INDEX(ตั้งค่า!$C$6:$D$9,MATCH(D8,ตั้งค่า!$A$6:$A$9,0),MATCH(C8,ตั้งค่า!$C$5:$D$5,0)),0))</f>
        <v>23500</v>
      </c>
      <c r="F8" s="10" t="n">
        <f aca="false">IF($D8="","",IFERROR(INDEX(ตั้งค่า!$B$6:$B$9,MATCH(D8,ตั้งค่า!$A$6:$A$9,0)),1))</f>
        <v>3</v>
      </c>
      <c r="G8" s="11" t="n">
        <f aca="false">IF($D8="","",E8*F8)</f>
        <v>70500</v>
      </c>
      <c r="H8" s="6" t="s">
        <v>15</v>
      </c>
      <c r="I8" s="11" t="n">
        <f aca="false">IF($D8="","",IFERROR(INDEX(ตั้งค่า!$B$14:$B$16,MATCH(H8,ตั้งค่า!$A$14:$A$16,0)),0))</f>
        <v>0</v>
      </c>
      <c r="J8" s="6" t="s">
        <v>21</v>
      </c>
      <c r="K8" s="12" t="n">
        <f aca="false">IF($D8="","",IF(AND(F8=1,LEFT(J8,4)="ผ่อน"),ตั้งค่า!$B$21,IFERROR(INDEX(ตั้งค่า!$B$20:$B$24,MATCH(J8,ตั้งค่า!$A$20:$A$24,0)),0)))</f>
        <v>0</v>
      </c>
      <c r="L8" s="11" t="n">
        <f aca="false">IF($D8="","",G8*K8*(1+ตั้งค่า!$B$26))</f>
        <v>0</v>
      </c>
      <c r="M8" s="11" t="n">
        <f aca="false">IF($D8="","",IF(J8="โอน / เงินสด",0,I8*ตั้งค่า!$B$21*(1+ตั้งค่า!$B$26)))</f>
        <v>0</v>
      </c>
      <c r="N8" s="11" t="n">
        <f aca="false">IF($D8="","",L8/F8+M8)</f>
        <v>0</v>
      </c>
      <c r="O8" s="11" t="n">
        <f aca="false">IF($D8="","",E8+I8)</f>
        <v>23500</v>
      </c>
      <c r="P8" s="11" t="n">
        <f aca="false">IF($D8="","",O8-N8)</f>
        <v>23500</v>
      </c>
      <c r="Q8" s="11" t="n">
        <f aca="false">IF($D8="","",G8+I8-L8-M8)</f>
        <v>70500</v>
      </c>
      <c r="R8" s="13" t="str">
        <f aca="false">IF($D8="","",IF(AND(F8=1,LEFT(J8,4)="ผ่อน"),"จ่ายรายเดือนผ่อนไม่ได้ คิดเป็นรูดบัตร",""))</f>
        <v/>
      </c>
    </row>
    <row r="9" customFormat="false" ht="15" hidden="false" customHeight="false" outlineLevel="0" collapsed="false">
      <c r="A9" s="10" t="n">
        <v>5</v>
      </c>
      <c r="B9" s="6"/>
      <c r="C9" s="6" t="s">
        <v>5</v>
      </c>
      <c r="D9" s="6" t="s">
        <v>8</v>
      </c>
      <c r="E9" s="11" t="n">
        <f aca="false">IF($D9="","",IFERROR(INDEX(ตั้งค่า!$C$6:$D$9,MATCH(D9,ตั้งค่า!$A$6:$A$9,0),MATCH(C9,ตั้งค่า!$C$5:$D$5,0)),0))</f>
        <v>23500</v>
      </c>
      <c r="F9" s="10" t="n">
        <f aca="false">IF($D9="","",IFERROR(INDEX(ตั้งค่า!$B$6:$B$9,MATCH(D9,ตั้งค่า!$A$6:$A$9,0)),1))</f>
        <v>3</v>
      </c>
      <c r="G9" s="11" t="n">
        <f aca="false">IF($D9="","",E9*F9)</f>
        <v>70500</v>
      </c>
      <c r="H9" s="6" t="s">
        <v>16</v>
      </c>
      <c r="I9" s="11" t="n">
        <f aca="false">IF($D9="","",IFERROR(INDEX(ตั้งค่า!$B$14:$B$16,MATCH(H9,ตั้งค่า!$A$14:$A$16,0)),0))</f>
        <v>4000</v>
      </c>
      <c r="J9" s="6" t="s">
        <v>24</v>
      </c>
      <c r="K9" s="12" t="n">
        <f aca="false">IF($D9="","",IF(AND(F9=1,LEFT(J9,4)="ผ่อน"),ตั้งค่า!$B$21,IFERROR(INDEX(ตั้งค่า!$B$20:$B$24,MATCH(J9,ตั้งค่า!$A$20:$A$24,0)),0)))</f>
        <v>0.03</v>
      </c>
      <c r="L9" s="11" t="n">
        <f aca="false">IF($D9="","",G9*K9*(1+ตั้งค่า!$B$26))</f>
        <v>2263.05</v>
      </c>
      <c r="M9" s="11" t="n">
        <f aca="false">IF($D9="","",IF(J9="โอน / เงินสด",0,I9*ตั้งค่า!$B$21*(1+ตั้งค่า!$B$26)))</f>
        <v>68.48</v>
      </c>
      <c r="N9" s="11" t="n">
        <f aca="false">IF($D9="","",L9/F9+M9)</f>
        <v>822.83</v>
      </c>
      <c r="O9" s="11" t="n">
        <f aca="false">IF($D9="","",E9+I9)</f>
        <v>27500</v>
      </c>
      <c r="P9" s="11" t="n">
        <f aca="false">IF($D9="","",O9-N9)</f>
        <v>26677.17</v>
      </c>
      <c r="Q9" s="11" t="n">
        <f aca="false">IF($D9="","",G9+I9-L9-M9)</f>
        <v>72168.47</v>
      </c>
      <c r="R9" s="13" t="str">
        <f aca="false">IF($D9="","",IF(AND(F9=1,LEFT(J9,4)="ผ่อน"),"จ่ายรายเดือนผ่อนไม่ได้ คิดเป็นรูดบัตร",""))</f>
        <v/>
      </c>
    </row>
    <row r="10" customFormat="false" ht="15" hidden="false" customHeight="false" outlineLevel="0" collapsed="false">
      <c r="A10" s="10" t="n">
        <v>6</v>
      </c>
      <c r="B10" s="6"/>
      <c r="C10" s="6" t="s">
        <v>5</v>
      </c>
      <c r="D10" s="6" t="s">
        <v>7</v>
      </c>
      <c r="E10" s="11" t="n">
        <f aca="false">IF($D10="","",IFERROR(INDEX(ตั้งค่า!$C$6:$D$9,MATCH(D10,ตั้งค่า!$A$6:$A$9,0),MATCH(C10,ตั้งค่า!$C$5:$D$5,0)),0))</f>
        <v>25000</v>
      </c>
      <c r="F10" s="10" t="n">
        <f aca="false">IF($D10="","",IFERROR(INDEX(ตั้งค่า!$B$6:$B$9,MATCH(D10,ตั้งค่า!$A$6:$A$9,0)),1))</f>
        <v>1</v>
      </c>
      <c r="G10" s="11" t="n">
        <f aca="false">IF($D10="","",E10*F10)</f>
        <v>25000</v>
      </c>
      <c r="H10" s="6" t="s">
        <v>15</v>
      </c>
      <c r="I10" s="11" t="n">
        <f aca="false">IF($D10="","",IFERROR(INDEX(ตั้งค่า!$B$14:$B$16,MATCH(H10,ตั้งค่า!$A$14:$A$16,0)),0))</f>
        <v>0</v>
      </c>
      <c r="J10" s="6" t="s">
        <v>22</v>
      </c>
      <c r="K10" s="12" t="n">
        <f aca="false">IF($D10="","",IF(AND(F10=1,LEFT(J10,4)="ผ่อน"),ตั้งค่า!$B$21,IFERROR(INDEX(ตั้งค่า!$B$20:$B$24,MATCH(J10,ตั้งค่า!$A$20:$A$24,0)),0)))</f>
        <v>0.016</v>
      </c>
      <c r="L10" s="11" t="n">
        <f aca="false">IF($D10="","",G10*K10*(1+ตั้งค่า!$B$26))</f>
        <v>428</v>
      </c>
      <c r="M10" s="11" t="n">
        <f aca="false">IF($D10="","",IF(J10="โอน / เงินสด",0,I10*ตั้งค่า!$B$21*(1+ตั้งค่า!$B$26)))</f>
        <v>0</v>
      </c>
      <c r="N10" s="11" t="n">
        <f aca="false">IF($D10="","",L10/F10+M10)</f>
        <v>428</v>
      </c>
      <c r="O10" s="11" t="n">
        <f aca="false">IF($D10="","",E10+I10)</f>
        <v>25000</v>
      </c>
      <c r="P10" s="11" t="n">
        <f aca="false">IF($D10="","",O10-N10)</f>
        <v>24572</v>
      </c>
      <c r="Q10" s="11" t="n">
        <f aca="false">IF($D10="","",G10+I10-L10-M10)</f>
        <v>24572</v>
      </c>
      <c r="R10" s="13" t="str">
        <f aca="false">IF($D10="","",IF(AND(F10=1,LEFT(J10,4)="ผ่อน"),"จ่ายรายเดือนผ่อนไม่ได้ คิดเป็นรูดบัตร",""))</f>
        <v/>
      </c>
    </row>
    <row r="11" customFormat="false" ht="15" hidden="false" customHeight="false" outlineLevel="0" collapsed="false">
      <c r="A11" s="10" t="n">
        <v>7</v>
      </c>
      <c r="B11" s="6"/>
      <c r="C11" s="6" t="s">
        <v>6</v>
      </c>
      <c r="D11" s="6" t="s">
        <v>9</v>
      </c>
      <c r="E11" s="11" t="n">
        <f aca="false">IF($D11="","",IFERROR(INDEX(ตั้งค่า!$C$6:$D$9,MATCH(D11,ตั้งค่า!$A$6:$A$9,0),MATCH(C11,ตั้งค่า!$C$5:$D$5,0)),0))</f>
        <v>24500</v>
      </c>
      <c r="F11" s="10" t="n">
        <f aca="false">IF($D11="","",IFERROR(INDEX(ตั้งค่า!$B$6:$B$9,MATCH(D11,ตั้งค่า!$A$6:$A$9,0)),1))</f>
        <v>6</v>
      </c>
      <c r="G11" s="11" t="n">
        <f aca="false">IF($D11="","",E11*F11)</f>
        <v>147000</v>
      </c>
      <c r="H11" s="6" t="s">
        <v>15</v>
      </c>
      <c r="I11" s="11" t="n">
        <f aca="false">IF($D11="","",IFERROR(INDEX(ตั้งค่า!$B$14:$B$16,MATCH(H11,ตั้งค่า!$A$14:$A$16,0)),0))</f>
        <v>0</v>
      </c>
      <c r="J11" s="6" t="s">
        <v>26</v>
      </c>
      <c r="K11" s="12" t="n">
        <f aca="false">IF($D11="","",IF(AND(F11=1,LEFT(J11,4)="ผ่อน"),ตั้งค่า!$B$21,IFERROR(INDEX(ตั้งค่า!$B$20:$B$24,MATCH(J11,ตั้งค่า!$A$20:$A$24,0)),0)))</f>
        <v>0.05</v>
      </c>
      <c r="L11" s="11" t="n">
        <f aca="false">IF($D11="","",G11*K11*(1+ตั้งค่า!$B$26))</f>
        <v>7864.5</v>
      </c>
      <c r="M11" s="11" t="n">
        <f aca="false">IF($D11="","",IF(J11="โอน / เงินสด",0,I11*ตั้งค่า!$B$21*(1+ตั้งค่า!$B$26)))</f>
        <v>0</v>
      </c>
      <c r="N11" s="11" t="n">
        <f aca="false">IF($D11="","",L11/F11+M11)</f>
        <v>1310.75</v>
      </c>
      <c r="O11" s="11" t="n">
        <f aca="false">IF($D11="","",E11+I11)</f>
        <v>24500</v>
      </c>
      <c r="P11" s="11" t="n">
        <f aca="false">IF($D11="","",O11-N11)</f>
        <v>23189.25</v>
      </c>
      <c r="Q11" s="11" t="n">
        <f aca="false">IF($D11="","",G11+I11-L11-M11)</f>
        <v>139135.5</v>
      </c>
      <c r="R11" s="13" t="str">
        <f aca="false">IF($D11="","",IF(AND(F11=1,LEFT(J11,4)="ผ่อน"),"จ่ายรายเดือนผ่อนไม่ได้ คิดเป็นรูดบัตร",""))</f>
        <v/>
      </c>
    </row>
    <row r="12" customFormat="false" ht="15" hidden="false" customHeight="false" outlineLevel="0" collapsed="false">
      <c r="A12" s="10" t="n">
        <v>8</v>
      </c>
      <c r="B12" s="6"/>
      <c r="C12" s="6" t="s">
        <v>6</v>
      </c>
      <c r="D12" s="6" t="s">
        <v>8</v>
      </c>
      <c r="E12" s="11" t="n">
        <f aca="false">IF($D12="","",IFERROR(INDEX(ตั้งค่า!$C$6:$D$9,MATCH(D12,ตั้งค่า!$A$6:$A$9,0),MATCH(C12,ตั้งค่า!$C$5:$D$5,0)),0))</f>
        <v>25500</v>
      </c>
      <c r="F12" s="10" t="n">
        <f aca="false">IF($D12="","",IFERROR(INDEX(ตั้งค่า!$B$6:$B$9,MATCH(D12,ตั้งค่า!$A$6:$A$9,0)),1))</f>
        <v>3</v>
      </c>
      <c r="G12" s="11" t="n">
        <f aca="false">IF($D12="","",E12*F12)</f>
        <v>76500</v>
      </c>
      <c r="H12" s="6" t="s">
        <v>17</v>
      </c>
      <c r="I12" s="11" t="n">
        <f aca="false">IF($D12="","",IFERROR(INDEX(ตั้งค่า!$B$14:$B$16,MATCH(H12,ตั้งค่า!$A$14:$A$16,0)),0))</f>
        <v>6000</v>
      </c>
      <c r="J12" s="6" t="s">
        <v>21</v>
      </c>
      <c r="K12" s="12" t="n">
        <f aca="false">IF($D12="","",IF(AND(F12=1,LEFT(J12,4)="ผ่อน"),ตั้งค่า!$B$21,IFERROR(INDEX(ตั้งค่า!$B$20:$B$24,MATCH(J12,ตั้งค่า!$A$20:$A$24,0)),0)))</f>
        <v>0</v>
      </c>
      <c r="L12" s="11" t="n">
        <f aca="false">IF($D12="","",G12*K12*(1+ตั้งค่า!$B$26))</f>
        <v>0</v>
      </c>
      <c r="M12" s="11" t="n">
        <f aca="false">IF($D12="","",IF(J12="โอน / เงินสด",0,I12*ตั้งค่า!$B$21*(1+ตั้งค่า!$B$26)))</f>
        <v>0</v>
      </c>
      <c r="N12" s="11" t="n">
        <f aca="false">IF($D12="","",L12/F12+M12)</f>
        <v>0</v>
      </c>
      <c r="O12" s="11" t="n">
        <f aca="false">IF($D12="","",E12+I12)</f>
        <v>31500</v>
      </c>
      <c r="P12" s="11" t="n">
        <f aca="false">IF($D12="","",O12-N12)</f>
        <v>31500</v>
      </c>
      <c r="Q12" s="11" t="n">
        <f aca="false">IF($D12="","",G12+I12-L12-M12)</f>
        <v>82500</v>
      </c>
      <c r="R12" s="13" t="str">
        <f aca="false">IF($D12="","",IF(AND(F12=1,LEFT(J12,4)="ผ่อน"),"จ่ายรายเดือนผ่อนไม่ได้ คิดเป็นรูดบัตร",""))</f>
        <v/>
      </c>
    </row>
    <row r="13" customFormat="false" ht="15" hidden="false" customHeight="false" outlineLevel="0" collapsed="false">
      <c r="A13" s="10" t="n">
        <v>9</v>
      </c>
      <c r="B13" s="6"/>
      <c r="C13" s="6" t="s">
        <v>6</v>
      </c>
      <c r="D13" s="6" t="s">
        <v>8</v>
      </c>
      <c r="E13" s="11" t="n">
        <f aca="false">IF($D13="","",IFERROR(INDEX(ตั้งค่า!$C$6:$D$9,MATCH(D13,ตั้งค่า!$A$6:$A$9,0),MATCH(C13,ตั้งค่า!$C$5:$D$5,0)),0))</f>
        <v>25500</v>
      </c>
      <c r="F13" s="10" t="n">
        <f aca="false">IF($D13="","",IFERROR(INDEX(ตั้งค่า!$B$6:$B$9,MATCH(D13,ตั้งค่า!$A$6:$A$9,0)),1))</f>
        <v>3</v>
      </c>
      <c r="G13" s="11" t="n">
        <f aca="false">IF($D13="","",E13*F13)</f>
        <v>76500</v>
      </c>
      <c r="H13" s="6" t="s">
        <v>15</v>
      </c>
      <c r="I13" s="11" t="n">
        <f aca="false">IF($D13="","",IFERROR(INDEX(ตั้งค่า!$B$14:$B$16,MATCH(H13,ตั้งค่า!$A$14:$A$16,0)),0))</f>
        <v>0</v>
      </c>
      <c r="J13" s="6" t="s">
        <v>21</v>
      </c>
      <c r="K13" s="12" t="n">
        <f aca="false">IF($D13="","",IF(AND(F13=1,LEFT(J13,4)="ผ่อน"),ตั้งค่า!$B$21,IFERROR(INDEX(ตั้งค่า!$B$20:$B$24,MATCH(J13,ตั้งค่า!$A$20:$A$24,0)),0)))</f>
        <v>0</v>
      </c>
      <c r="L13" s="11" t="n">
        <f aca="false">IF($D13="","",G13*K13*(1+ตั้งค่า!$B$26))</f>
        <v>0</v>
      </c>
      <c r="M13" s="11" t="n">
        <f aca="false">IF($D13="","",IF(J13="โอน / เงินสด",0,I13*ตั้งค่า!$B$21*(1+ตั้งค่า!$B$26)))</f>
        <v>0</v>
      </c>
      <c r="N13" s="11" t="n">
        <f aca="false">IF($D13="","",L13/F13+M13)</f>
        <v>0</v>
      </c>
      <c r="O13" s="11" t="n">
        <f aca="false">IF($D13="","",E13+I13)</f>
        <v>25500</v>
      </c>
      <c r="P13" s="11" t="n">
        <f aca="false">IF($D13="","",O13-N13)</f>
        <v>25500</v>
      </c>
      <c r="Q13" s="11" t="n">
        <f aca="false">IF($D13="","",G13+I13-L13-M13)</f>
        <v>76500</v>
      </c>
      <c r="R13" s="13" t="str">
        <f aca="false">IF($D13="","",IF(AND(F13=1,LEFT(J13,4)="ผ่อน"),"จ่ายรายเดือนผ่อนไม่ได้ คิดเป็นรูดบัตร",""))</f>
        <v/>
      </c>
    </row>
    <row r="14" customFormat="false" ht="15" hidden="false" customHeight="false" outlineLevel="0" collapsed="false">
      <c r="A14" s="10" t="n">
        <v>10</v>
      </c>
      <c r="B14" s="6"/>
      <c r="C14" s="6" t="s">
        <v>6</v>
      </c>
      <c r="D14" s="6" t="s">
        <v>7</v>
      </c>
      <c r="E14" s="11" t="n">
        <f aca="false">IF($D14="","",IFERROR(INDEX(ตั้งค่า!$C$6:$D$9,MATCH(D14,ตั้งค่า!$A$6:$A$9,0),MATCH(C14,ตั้งค่า!$C$5:$D$5,0)),0))</f>
        <v>27000</v>
      </c>
      <c r="F14" s="10" t="n">
        <f aca="false">IF($D14="","",IFERROR(INDEX(ตั้งค่า!$B$6:$B$9,MATCH(D14,ตั้งค่า!$A$6:$A$9,0)),1))</f>
        <v>1</v>
      </c>
      <c r="G14" s="11" t="n">
        <f aca="false">IF($D14="","",E14*F14)</f>
        <v>27000</v>
      </c>
      <c r="H14" s="6" t="s">
        <v>15</v>
      </c>
      <c r="I14" s="11" t="n">
        <f aca="false">IF($D14="","",IFERROR(INDEX(ตั้งค่า!$B$14:$B$16,MATCH(H14,ตั้งค่า!$A$14:$A$16,0)),0))</f>
        <v>0</v>
      </c>
      <c r="J14" s="6" t="s">
        <v>21</v>
      </c>
      <c r="K14" s="12" t="n">
        <f aca="false">IF($D14="","",IF(AND(F14=1,LEFT(J14,4)="ผ่อน"),ตั้งค่า!$B$21,IFERROR(INDEX(ตั้งค่า!$B$20:$B$24,MATCH(J14,ตั้งค่า!$A$20:$A$24,0)),0)))</f>
        <v>0</v>
      </c>
      <c r="L14" s="11" t="n">
        <f aca="false">IF($D14="","",G14*K14*(1+ตั้งค่า!$B$26))</f>
        <v>0</v>
      </c>
      <c r="M14" s="11" t="n">
        <f aca="false">IF($D14="","",IF(J14="โอน / เงินสด",0,I14*ตั้งค่า!$B$21*(1+ตั้งค่า!$B$26)))</f>
        <v>0</v>
      </c>
      <c r="N14" s="11" t="n">
        <f aca="false">IF($D14="","",L14/F14+M14)</f>
        <v>0</v>
      </c>
      <c r="O14" s="11" t="n">
        <f aca="false">IF($D14="","",E14+I14)</f>
        <v>27000</v>
      </c>
      <c r="P14" s="11" t="n">
        <f aca="false">IF($D14="","",O14-N14)</f>
        <v>27000</v>
      </c>
      <c r="Q14" s="11" t="n">
        <f aca="false">IF($D14="","",G14+I14-L14-M14)</f>
        <v>27000</v>
      </c>
      <c r="R14" s="13" t="str">
        <f aca="false">IF($D14="","",IF(AND(F14=1,LEFT(J14,4)="ผ่อน"),"จ่ายรายเดือนผ่อนไม่ได้ คิดเป็นรูดบัตร",""))</f>
        <v/>
      </c>
    </row>
    <row r="15" customFormat="false" ht="15" hidden="false" customHeight="false" outlineLevel="0" collapsed="false">
      <c r="A15" s="14" t="s">
        <v>47</v>
      </c>
      <c r="B15" s="14"/>
      <c r="C15" s="14"/>
      <c r="D15" s="14"/>
      <c r="E15" s="15" t="n">
        <f aca="false">SUM(E5:E14)</f>
        <v>234200</v>
      </c>
      <c r="F15" s="14"/>
      <c r="G15" s="15" t="n">
        <f aca="false">SUM(G5:G14)</f>
        <v>672100</v>
      </c>
      <c r="H15" s="14"/>
      <c r="I15" s="15" t="n">
        <f aca="false">SUM(I5:I14)</f>
        <v>14000</v>
      </c>
      <c r="J15" s="14"/>
      <c r="K15" s="14"/>
      <c r="L15" s="15" t="n">
        <f aca="false">SUM(L5:L14)</f>
        <v>13493.984</v>
      </c>
      <c r="M15" s="15" t="n">
        <f aca="false">SUM(M5:M14)</f>
        <v>68.48</v>
      </c>
      <c r="N15" s="15" t="n">
        <f aca="false">SUM(N5:N14)</f>
        <v>3541.058</v>
      </c>
      <c r="O15" s="15" t="n">
        <f aca="false">SUM(O5:O14)</f>
        <v>248200</v>
      </c>
      <c r="P15" s="15" t="n">
        <f aca="false">SUM(P5:P14)</f>
        <v>244658.942</v>
      </c>
      <c r="Q15" s="15" t="n">
        <f aca="false">SUM(Q5:Q14)</f>
        <v>672537.536</v>
      </c>
      <c r="R15" s="14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5" hidden="false" customHeight="false" outlineLevel="0" collapsed="false">
      <c r="A18" s="16" t="s">
        <v>48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5" hidden="false" customHeight="false" outlineLevel="0" collapsed="false">
      <c r="A19" s="13" t="s">
        <v>49</v>
      </c>
      <c r="B19" s="13"/>
      <c r="C19" s="13"/>
      <c r="D19" s="17" t="n">
        <f aca="false">COUNTIF(D5:D14,"?*")</f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5" hidden="false" customHeight="false" outlineLevel="0" collapsed="false">
      <c r="A20" s="13" t="s">
        <v>50</v>
      </c>
      <c r="B20" s="13"/>
      <c r="C20" s="13"/>
      <c r="D20" s="17" t="n">
        <f aca="false">COUNTIFS(D5:D14,"?*",J5:J14,"โอน / เงินสด")</f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5" hidden="false" customHeight="false" outlineLevel="0" collapsed="false">
      <c r="A21" s="13" t="s">
        <v>51</v>
      </c>
      <c r="B21" s="13"/>
      <c r="C21" s="13"/>
      <c r="D21" s="17" t="n">
        <f aca="false">COUNTIFS(D5:D14,"?*",J5:J14,"รูดบัตรเครดิต")</f>
        <v>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5" hidden="false" customHeight="false" outlineLevel="0" collapsed="false">
      <c r="A22" s="13" t="s">
        <v>52</v>
      </c>
      <c r="B22" s="13"/>
      <c r="C22" s="13"/>
      <c r="D22" s="17" t="n">
        <f aca="false">COUNTIFS(D5:D14,"?*",J5:J14,"ผ่อน*")</f>
        <v>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5" hidden="false" customHeight="false" outlineLevel="0" collapsed="false">
      <c r="A23" s="13" t="s">
        <v>53</v>
      </c>
      <c r="B23" s="13"/>
      <c r="C23" s="13"/>
      <c r="D23" s="18" t="n">
        <f aca="false">O15</f>
        <v>248200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5" hidden="false" customHeight="false" outlineLevel="0" collapsed="false">
      <c r="A24" s="13" t="s">
        <v>54</v>
      </c>
      <c r="B24" s="13"/>
      <c r="C24" s="13"/>
      <c r="D24" s="18" t="n">
        <f aca="false">N15</f>
        <v>3541.058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" hidden="false" customHeight="false" outlineLevel="0" collapsed="false">
      <c r="A25" s="13" t="s">
        <v>55</v>
      </c>
      <c r="B25" s="13"/>
      <c r="C25" s="13"/>
      <c r="D25" s="19" t="n">
        <f aca="false">IF(O15=0,0,N15/O15)</f>
        <v>0.014266954069299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false" outlineLevel="0" collapsed="false">
      <c r="A26" s="13" t="s">
        <v>56</v>
      </c>
      <c r="B26" s="13"/>
      <c r="C26" s="13"/>
      <c r="D26" s="18" t="n">
        <f aca="false">P15</f>
        <v>244658.942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13" t="s">
        <v>57</v>
      </c>
      <c r="B27" s="13"/>
      <c r="C27" s="13"/>
      <c r="D27" s="18" t="n">
        <f aca="false">N15*12</f>
        <v>42492.696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5" hidden="false" customHeight="false" outlineLevel="0" collapsed="false">
      <c r="A28" s="13" t="s">
        <v>58</v>
      </c>
      <c r="B28" s="13"/>
      <c r="C28" s="13"/>
      <c r="D28" s="18" t="n">
        <f aca="false">Q15</f>
        <v>672537.536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5" hidden="false" customHeight="false" outlineLevel="0" collapsed="false">
      <c r="A30" s="4" t="s">
        <v>59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5" hidden="false" customHeight="false" outlineLevel="0" collapsed="false">
      <c r="A31" s="20" t="s">
        <v>60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5" hidden="false" customHeight="false" outlineLevel="0" collapsed="false">
      <c r="A32" s="20" t="s">
        <v>61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5" hidden="false" customHeight="false" outlineLevel="0" collapsed="false">
      <c r="A33" s="20" t="s">
        <v>62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5" hidden="false" customHeight="false" outlineLevel="0" collapsed="false">
      <c r="A34" s="20" t="s">
        <v>63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5" hidden="false" customHeight="false" outlineLevel="0" collapsed="false">
      <c r="A35" s="20" t="s">
        <v>64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5" hidden="false" customHeight="false" outlineLevel="0" collapsed="false">
      <c r="A36" s="20" t="s">
        <v>65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</sheetData>
  <mergeCells count="11">
    <mergeCell ref="A15:D15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</mergeCells>
  <dataValidations count="4">
    <dataValidation allowBlank="true" error="เลือกจากรายการ (แก้รายการได้ที่ชีต ตั้งค่า)" errorStyle="stop" operator="between" showDropDown="false" showErrorMessage="true" showInputMessage="false" sqref="C5:C14" type="list">
      <formula1>ตั้งค่า!$C$5:$D$5</formula1>
      <formula2>0</formula2>
    </dataValidation>
    <dataValidation allowBlank="true" error="เลือกจากรายการ (แก้รายการได้ที่ชีต ตั้งค่า)" errorStyle="stop" operator="between" showDropDown="false" showErrorMessage="true" showInputMessage="false" sqref="D5:D14" type="list">
      <formula1>ตั้งค่า!$A$6:$A$9</formula1>
      <formula2>0</formula2>
    </dataValidation>
    <dataValidation allowBlank="true" error="เลือกจากรายการ (แก้รายการได้ที่ชีต ตั้งค่า)" errorStyle="stop" operator="between" showDropDown="false" showErrorMessage="true" showInputMessage="false" sqref="H5:H14" type="list">
      <formula1>ตั้งค่า!$A$14:$A$16</formula1>
      <formula2>0</formula2>
    </dataValidation>
    <dataValidation allowBlank="true" error="เลือกจากรายการ (แก้รายการได้ที่ชีต ตั้งค่า)" errorStyle="stop" operator="between" showDropDown="false" showErrorMessage="true" showInputMessage="false" sqref="J5:J14" type="list">
      <formula1>ตั้งค่า!$A$20:$A$24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2026-09-29T18:31:27Z</dcterms:created>
  <dc:creator>openpyxl</dc:creator>
  <dc:description/>
  <dc:language>en-US</dc:language>
  <cp:lastModifiedBy/>
  <dcterms:modified xsi:type="dcterms:W3CDTF">2026-09-29T18:31:27Z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