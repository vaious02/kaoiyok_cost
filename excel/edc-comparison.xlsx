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ปรียบเทียบ" sheetId="1" state="visible" r:id="rId3"/>
    <sheet name="คำนวณค่าใช้จ่าย" sheetId="2" state="visible" r:id="rId4"/>
    <sheet name="คำถามถามธนาคาร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<sst xmlns="http://schemas.openxmlformats.org/spreadsheetml/2006/main" count="183" uniqueCount="118">
  <si>
    <t xml:space="preserve">เปรียบเทียบเครื่องรูดบัตร (EDC) แต่ละเจ้า</t>
  </si>
  <si>
    <t xml:space="preserve">รวบรวมจากเว็บไซต์ธนาคารและบทความ ณ 29 ก.ย. 2569 · ช่องสีส้ม "ต้องสอบถาม" = ธนาคารไม่ได้เปิดเผยบนเว็บ โทรถามแล้วพิมพ์ทับได้ · อัตราเปลี่ยนได้และต่อรองได้ตามยอดขาย</t>
  </si>
  <si>
    <t xml:space="preserve">ผู้ให้บริการ</t>
  </si>
  <si>
    <t xml:space="preserve">MDR บัตรเครดิตในประเทศ (ทั่วไป)</t>
  </si>
  <si>
    <t xml:space="preserve">MDR บัตรเครดิต พรีเมียม</t>
  </si>
  <si>
    <t xml:space="preserve">MDR บัตรเดบิตในประเทศ</t>
  </si>
  <si>
    <t xml:space="preserve">MDR บัตรต่างประเทศ</t>
  </si>
  <si>
    <t xml:space="preserve">ค่าบริการเครื่อง / เดือน</t>
  </si>
  <si>
    <t xml:space="preserve">ยกเว้นค่ารายเดือนเมื่อ</t>
  </si>
  <si>
    <t xml:space="preserve">เงินมัดจำ / ค่าประกันเครื่อง</t>
  </si>
  <si>
    <t xml:space="preserve">ค่าติดตั้ง</t>
  </si>
  <si>
    <t xml:space="preserve">ผ่อน 0% (ร้านจ่าย)</t>
  </si>
  <si>
    <t xml:space="preserve">จุดเด่น / หมายเหตุ</t>
  </si>
  <si>
    <t xml:space="preserve">แหล่งข้อมูล</t>
  </si>
  <si>
    <t xml:space="preserve">กสิกรไทย (KBank)</t>
  </si>
  <si>
    <t xml:space="preserve">1.60%</t>
  </si>
  <si>
    <t xml:space="preserve">2.40%</t>
  </si>
  <si>
    <t xml:space="preserve">0.55%</t>
  </si>
  <si>
    <t xml:space="preserve">2.15% (ทั่วไป) / 2.75% (พรีเมียม)</t>
  </si>
  <si>
    <t xml:space="preserve">400–1,000 บาท ตามรุ่นเครื่อง</t>
  </si>
  <si>
    <t xml:space="preserve">ยอดขาย ≥ 50,000 บาท/เครื่อง/เดือน (เครื่อง Non-Android ตั้งโต๊ะ)</t>
  </si>
  <si>
    <t xml:space="preserve">ต้องสอบถาม</t>
  </si>
  <si>
    <t xml:space="preserve">ฟรี</t>
  </si>
  <si>
    <t xml:space="preserve">WeChat Pay / Alipay 1.60% · บางโปรใช้ MDR 1.50% ทุกรายการ · ราคายังไม่รวม VAT 7%</t>
  </si>
  <si>
    <t xml:space="preserve">kasikornbank.com (หน้า EDC)</t>
  </si>
  <si>
    <t xml:space="preserve">กรุงเทพ (BBL)</t>
  </si>
  <si>
    <t xml:space="preserve">500 บาท</t>
  </si>
  <si>
    <t xml:space="preserve">ยอดรูดบัตร ≥ 50,000 บาท/เครื่อง/เดือน</t>
  </si>
  <si>
    <t xml:space="preserve">1,000 บาท (Non-Android) / 3,000 บาท (Android)</t>
  </si>
  <si>
    <t xml:space="preserve">มีอัตราค่าธรรมเนียมร้านค้าใหม่ ใช้ตั้งแต่ 1 ก.ค. 2568 ขอเอกสารอัตราจากสาขา</t>
  </si>
  <si>
    <t xml:space="preserve">bangkokbank.com (Payments on EDC)</t>
  </si>
  <si>
    <t xml:space="preserve">ไทยพาณิชย์ (SCB)</t>
  </si>
  <si>
    <t xml:space="preserve">ยอดรูดบัตร ≥ 20,000 บาท/เดือน</t>
  </si>
  <si>
    <t xml:space="preserve">มีเครื่องแบบพกพาและตั้งโต๊ะ · เช่าเครื่องรายวันสำหรับงานอีเวนต์ 1,000 บาท/วัน · มี SCB Tap To Pay (ใช้มือถือรับบัตร)</t>
  </si>
  <si>
    <t xml:space="preserve">scb.co.th (EDC)</t>
  </si>
  <si>
    <t xml:space="preserve">กรุงศรี (Krungsri)</t>
  </si>
  <si>
    <t xml:space="preserve">ฟรี (ตามหน้าเว็บ)</t>
  </si>
  <si>
    <t xml:space="preserve">-</t>
  </si>
  <si>
    <t xml:space="preserve">รับ Visa / Mastercard / JCB / UnionPay · มีเอกสารอัตราค่าธรรมเนียมบนเว็บ (electronic-fee)</t>
  </si>
  <si>
    <t xml:space="preserve">krungsri.com (Krungsri EDC)</t>
  </si>
  <si>
    <t xml:space="preserve">KTC (บัตรกรุงไทย)</t>
  </si>
  <si>
    <t xml:space="preserve">1.50% (ตัวอย่าง KTC VISA)</t>
  </si>
  <si>
    <t xml:space="preserve">ฟรี (รวมกระดาษสลิป)</t>
  </si>
  <si>
    <t xml:space="preserve">มีโปรผ่อน 0% กับบัตร KTC · อัตรา ต้องสอบถาม</t>
  </si>
  <si>
    <t xml:space="preserve">เครื่องแบบสาย LAN/โทรศัพท์ และแบบ SIM พกพา · รองรับสกุลเงินต่างประเทศ</t>
  </si>
  <si>
    <t xml:space="preserve">ktc.co.th/merchant/edc</t>
  </si>
  <si>
    <t xml:space="preserve">กรุงไทย (KTB)</t>
  </si>
  <si>
    <t xml:space="preserve">รับ Visa / Mastercard / UnionPay / TPN / PromptCard · บทความยกตัวอย่าง MDR 2%</t>
  </si>
  <si>
    <t xml:space="preserve">krungthai.com (ร้านค้าสมาชิก KTB EDC)</t>
  </si>
  <si>
    <t xml:space="preserve">ทีทีบี (ttb)</t>
  </si>
  <si>
    <t xml:space="preserve">หน้าเว็บไม่ระบุอัตรา</t>
  </si>
  <si>
    <t xml:space="preserve">ttbbank.com (ttb EDC)</t>
  </si>
  <si>
    <t xml:space="preserve">Pay Solutions (PaySo)</t>
  </si>
  <si>
    <t xml:space="preserve">ดอกเบี้ยที่ร้านจ่าย ~0.8% / เดือนของระยะผ่อน</t>
  </si>
  <si>
    <t xml:space="preserve">เครื่องเดียวรับผ่อนได้หลายธนาคาร (6 ธนาคาร 9 บัตร) ผ่อน 0% ได้ถึง 36 เดือน · รับ QR พร้อมเพย์ / e-wallet · มีเครื่องคิดค่าธรรมเนียมบนเว็บ</t>
  </si>
  <si>
    <t xml:space="preserve">payso.co/th/edc</t>
  </si>
  <si>
    <t xml:space="preserve">สรุปสั้นๆ</t>
  </si>
  <si>
    <t xml:space="preserve">• ทุกเจ้าคิดแบบเดียวกัน: MDR % ต่อรายการ + VAT 7% ของ MDR, ค่าเครื่องรายเดือน (มักฟรีถ้ายอดถึงเกณฑ์) และบางเจ้ามีเงินมัดจำ</t>
  </si>
  <si>
    <t xml:space="preserve">• KBank เปิดเผยอัตราครบที่สุด: บัตรเครดิตทั่วไป 1.60% · ยอดรูด 50,000 บาท/เดือนขึ้นไปไม่เสียค่าเครื่อง</t>
  </si>
  <si>
    <t xml:space="preserve">• SCB เกณฑ์ยกเว้นค่าเครื่องต่ำสุดที่เจอ (20,000 บาท/เดือน) · กรุงศรีระบุว่าฟรีค่ารายเดือน</t>
  </si>
  <si>
    <t xml:space="preserve">• ถ้าจะทำโปรผ่อน 0% หลายธนาคารในเครื่องเดียว ดู PaySo หรือถามธนาคารว่ารับผ่อนบัตรธนาคารอื่นได้ไหม</t>
  </si>
  <si>
    <t xml:space="preserve">• ศูนย์ดูแลผู้สูงอายุรับยอดต่อครั้งสูง (จ่ายล่วงหน้า 70,000–150,000 บาท) ใช้เป็นข้อต่อรอง MDR ได้ ควรขอใบเสนอราคา 2–3 เจ้า</t>
  </si>
  <si>
    <t xml:space="preserve">• แหล่งข้อมูลเพิ่มเติม: ktc.co.th/article/knowledge/business/edc-machine-bank-recommend · dharmniti.co.th (5 เรื่องเครื่อง EDC)</t>
  </si>
  <si>
    <t xml:space="preserve">คำนวณค่าเครื่องรูดบัตรต่อเดือน ตามยอดรูดของศูนย์</t>
  </si>
  <si>
    <t xml:space="preserve">แก้ช่องพื้นเหลือง · อัตราที่ธนาคารยังไม่เปิดเผยใส่ค่าตลาด 1.60% / ผ่อน 6 เดือน 5% ไว้ก่อน (คอลัมน์ "ที่มา") ได้ใบเสนอราคาแล้วพิมพ์ทับ</t>
  </si>
  <si>
    <t xml:space="preserve">ยอดรูดบัตรต่อเดือน (บาท)</t>
  </si>
  <si>
    <t xml:space="preserve">ตัวอย่าง: ผู้พัก 2 คนรูดจ่ายล่วงหน้า 3 เดือน ≈ 150,000 บาท</t>
  </si>
  <si>
    <t xml:space="preserve">ในนั้นเป็นบัตรพรีเมียม (%)</t>
  </si>
  <si>
    <t xml:space="preserve">ยอดผ่อน 0% 6 เดือน ต่อเดือน (บาท)</t>
  </si>
  <si>
    <t xml:space="preserve">ยอดที่ลูกค้าเลือกผ่อน 6 เดือน (คิดแยกจากยอดรูดปกติ)</t>
  </si>
  <si>
    <t xml:space="preserve">VAT ของค่าธรรมเนียม</t>
  </si>
  <si>
    <t xml:space="preserve">MDR ทั่วไป</t>
  </si>
  <si>
    <t xml:space="preserve">MDR พรีเมียม</t>
  </si>
  <si>
    <t xml:space="preserve">ค่าเครื่อง / เดือน</t>
  </si>
  <si>
    <t xml:space="preserve">ฟรีเมื่อยอด ≥</t>
  </si>
  <si>
    <t xml:space="preserve">ผ่อน 6 เดือน (% ที่ร้านจ่าย)</t>
  </si>
  <si>
    <t xml:space="preserve">ค่า MDR / เดือน (รวม VAT)</t>
  </si>
  <si>
    <t xml:space="preserve">ค่าเครื่อง / เดือน (รวม VAT)</t>
  </si>
  <si>
    <t xml:space="preserve">ค่าผ่อน / เดือน (รวม VAT)</t>
  </si>
  <si>
    <t xml:space="preserve">รวม / เดือน</t>
  </si>
  <si>
    <t xml:space="preserve">รวม / ปี</t>
  </si>
  <si>
    <t xml:space="preserve">อันดับ</t>
  </si>
  <si>
    <t xml:space="preserve">ที่มาของตัวเลข</t>
  </si>
  <si>
    <t xml:space="preserve">MDR จากเว็บ · ค่าเครื่องใช้ค่าสูงสุด 1,000 · ผ่อน = ค่าสมมติ</t>
  </si>
  <si>
    <t xml:space="preserve">ค่าเครื่องจากเว็บ · MDR และผ่อน = ค่าสมมติ</t>
  </si>
  <si>
    <t xml:space="preserve">ค่าเครื่องฟรีตามเว็บ · MDR และผ่อน = ค่าสมมติ</t>
  </si>
  <si>
    <t xml:space="preserve">KTC</t>
  </si>
  <si>
    <t xml:space="preserve">MDR 1.50% จากตัวอย่างบนเว็บ · ที่เหลือ = ค่าสมมติ</t>
  </si>
  <si>
    <t xml:space="preserve">ค่าสมมติทั้งหมด</t>
  </si>
  <si>
    <t xml:space="preserve">ผ่อน 0.8%/เดือน × 6 = 4.8% · ที่เหลือ = ค่าสมมติ</t>
  </si>
  <si>
    <t xml:space="preserve">วิธีคิด</t>
  </si>
  <si>
    <t xml:space="preserve">• ค่า MDR / เดือน = ยอดรูด × (ส่วนบัตรทั่วไป × MDR ทั่วไป + ส่วนบัตรพรีเมียม × MDR พรีเมียม) × (1 + VAT 7%)</t>
  </si>
  <si>
    <t xml:space="preserve">• ค่าเครื่อง / เดือน = ไม่เสียถ้ายอดรูดถึงเกณฑ์ ไม่ถึงเสียตามอัตรา + VAT</t>
  </si>
  <si>
    <t xml:space="preserve">• ค่าผ่อน / เดือน = ยอดผ่อน 6 เดือน × % ที่ร้านจ่าย × (1 + VAT)</t>
  </si>
  <si>
    <t xml:space="preserve">• แถวสีเขียว = ถูกที่สุดตามตัวเลขที่ใส่ · ตัวเลขที่เป็นค่าสมมติทำให้หลายเจ้าออกมาเท่ากัน ได้ใบเสนอราคาจริงแล้วผลจะต่างกัน</t>
  </si>
  <si>
    <t xml:space="preserve">คำถามที่ควรถามตอนขอใบเสนอราคา</t>
  </si>
  <si>
    <t xml:space="preserve">จดคำตอบของแต่ละเจ้าในช่องพื้นเหลือง</t>
  </si>
  <si>
    <t xml:space="preserve">#</t>
  </si>
  <si>
    <t xml:space="preserve">คำถาม</t>
  </si>
  <si>
    <t xml:space="preserve">KBank</t>
  </si>
  <si>
    <t xml:space="preserve">BBL</t>
  </si>
  <si>
    <t xml:space="preserve">SCB</t>
  </si>
  <si>
    <t xml:space="preserve">Krungsri</t>
  </si>
  <si>
    <t xml:space="preserve">KTB</t>
  </si>
  <si>
    <t xml:space="preserve">ttb</t>
  </si>
  <si>
    <t xml:space="preserve">PaySo</t>
  </si>
  <si>
    <t xml:space="preserve">MDR บัตรเครดิตในประเทศ ทั่วไป / พรีเมียม / บัตรต่างประเทศ เท่าไหร่</t>
  </si>
  <si>
    <t xml:space="preserve">MDR บัตรเดบิต และ QR พร้อมเพย์ เท่าไหร่</t>
  </si>
  <si>
    <t xml:space="preserve">ยอดต่อครั้งสูง (70,000–150,000 บาท) ต่อรอง MDR ได้เท่าไหร่</t>
  </si>
  <si>
    <t xml:space="preserve">ผ่อน 0% 3 / 6 / 10 เดือน ร้านจ่ายกี่ % (รวมหรือไม่รวม VAT)</t>
  </si>
  <si>
    <t xml:space="preserve">รับผ่อนได้เฉพาะบัตรธนาคารตัวเอง หรือบัตรธนาคารอื่นด้วย</t>
  </si>
  <si>
    <t xml:space="preserve">ค่าเครื่องรายเดือน และยอดขั้นต่ำที่ได้ฟรี</t>
  </si>
  <si>
    <t xml:space="preserve">เงินมัดจำ / ค่าติดตั้ง / ค่ากระดาษสลิป</t>
  </si>
  <si>
    <t xml:space="preserve">เงินเข้าบัญชีกี่วันหลังรูด (ต้องเปิดบัญชีกับธนาคารนั้นไหม)</t>
  </si>
  <si>
    <t xml:space="preserve">ถ้าลูกค้าผ่อนแล้วออกก่อนครบ คืนเงินยังไง ค่าธรรมเนียมผ่อนได้คืนไหม</t>
  </si>
  <si>
    <t xml:space="preserve">สัญญาขั้นต่ำกี่ปี ยกเลิกก่อนเสียค่าปรับไหม</t>
  </si>
  <si>
    <t xml:space="preserve">เอกสารที่ต้องใช้สมัคร (ทะเบียนนิติบุคคล / ใบอนุญาตสถานประกอบการ)</t>
  </si>
  <si>
    <t xml:space="preserve">ต้องใช้เวลากี่วันถึงได้เครื่อง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</si>
</sst>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%"/>
    <numFmt numFmtId="167" formatCode="0.00%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0"/>
      <color theme="1"/>
      <name val="Tahoma"/>
      <family val="0"/>
      <charset val="1"/>
    </font>
    <font>
      <i val="true"/>
      <sz val="10"/>
      <color rgb="FF555555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color rgb="FF444444"/>
      <name val="Tahoma"/>
      <family val="0"/>
      <charset val="1"/>
    </font>
    <font>
      <sz val="10"/>
      <color rgb="FF0000FF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44"/>
    <col collapsed="false" customWidth="true" hidden="false" outlineLevel="0" max="12" min="12" style="0" width="26"/>
  </cols>
  <sheetData>
    <row r="1" customFormat="false" ht="17.9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8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61.5" hidden="false" customHeight="true" outlineLevel="0" collapsed="false">
      <c r="A5" s="5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7" t="s">
        <v>21</v>
      </c>
      <c r="I5" s="6" t="s">
        <v>22</v>
      </c>
      <c r="J5" s="7" t="s">
        <v>21</v>
      </c>
      <c r="K5" s="6" t="s">
        <v>23</v>
      </c>
      <c r="L5" s="6" t="s">
        <v>24</v>
      </c>
    </row>
    <row r="6" customFormat="false" ht="61.5" hidden="false" customHeight="true" outlineLevel="0" collapsed="false">
      <c r="A6" s="5" t="s">
        <v>25</v>
      </c>
      <c r="B6" s="7" t="s">
        <v>21</v>
      </c>
      <c r="C6" s="7" t="s">
        <v>21</v>
      </c>
      <c r="D6" s="7" t="s">
        <v>21</v>
      </c>
      <c r="E6" s="7" t="s">
        <v>21</v>
      </c>
      <c r="F6" s="6" t="s">
        <v>26</v>
      </c>
      <c r="G6" s="6" t="s">
        <v>27</v>
      </c>
      <c r="H6" s="6" t="s">
        <v>28</v>
      </c>
      <c r="I6" s="7" t="s">
        <v>21</v>
      </c>
      <c r="J6" s="7" t="s">
        <v>21</v>
      </c>
      <c r="K6" s="6" t="s">
        <v>29</v>
      </c>
      <c r="L6" s="6" t="s">
        <v>30</v>
      </c>
    </row>
    <row r="7" customFormat="false" ht="61.5" hidden="false" customHeight="true" outlineLevel="0" collapsed="false">
      <c r="A7" s="5" t="s">
        <v>31</v>
      </c>
      <c r="B7" s="7" t="s">
        <v>21</v>
      </c>
      <c r="C7" s="7" t="s">
        <v>21</v>
      </c>
      <c r="D7" s="7" t="s">
        <v>21</v>
      </c>
      <c r="E7" s="7" t="s">
        <v>21</v>
      </c>
      <c r="F7" s="6" t="s">
        <v>26</v>
      </c>
      <c r="G7" s="6" t="s">
        <v>32</v>
      </c>
      <c r="H7" s="7" t="s">
        <v>21</v>
      </c>
      <c r="I7" s="7" t="s">
        <v>21</v>
      </c>
      <c r="J7" s="7" t="s">
        <v>21</v>
      </c>
      <c r="K7" s="6" t="s">
        <v>33</v>
      </c>
      <c r="L7" s="6" t="s">
        <v>34</v>
      </c>
    </row>
    <row r="8" customFormat="false" ht="61.5" hidden="false" customHeight="true" outlineLevel="0" collapsed="false">
      <c r="A8" s="5" t="s">
        <v>35</v>
      </c>
      <c r="B8" s="7" t="s">
        <v>21</v>
      </c>
      <c r="C8" s="7" t="s">
        <v>21</v>
      </c>
      <c r="D8" s="7" t="s">
        <v>21</v>
      </c>
      <c r="E8" s="7" t="s">
        <v>21</v>
      </c>
      <c r="F8" s="6" t="s">
        <v>36</v>
      </c>
      <c r="G8" s="6" t="s">
        <v>37</v>
      </c>
      <c r="H8" s="7" t="s">
        <v>21</v>
      </c>
      <c r="I8" s="6" t="s">
        <v>22</v>
      </c>
      <c r="J8" s="7" t="s">
        <v>21</v>
      </c>
      <c r="K8" s="6" t="s">
        <v>38</v>
      </c>
      <c r="L8" s="6" t="s">
        <v>39</v>
      </c>
    </row>
    <row r="9" customFormat="false" ht="61.5" hidden="false" customHeight="true" outlineLevel="0" collapsed="false">
      <c r="A9" s="5" t="s">
        <v>40</v>
      </c>
      <c r="B9" s="6" t="s">
        <v>41</v>
      </c>
      <c r="C9" s="7" t="s">
        <v>21</v>
      </c>
      <c r="D9" s="7" t="s">
        <v>21</v>
      </c>
      <c r="E9" s="7" t="s">
        <v>21</v>
      </c>
      <c r="F9" s="7" t="s">
        <v>21</v>
      </c>
      <c r="G9" s="7" t="s">
        <v>21</v>
      </c>
      <c r="H9" s="6" t="s">
        <v>42</v>
      </c>
      <c r="I9" s="6" t="s">
        <v>22</v>
      </c>
      <c r="J9" s="7" t="s">
        <v>43</v>
      </c>
      <c r="K9" s="6" t="s">
        <v>44</v>
      </c>
      <c r="L9" s="6" t="s">
        <v>45</v>
      </c>
    </row>
    <row r="10" customFormat="false" ht="61.5" hidden="false" customHeight="true" outlineLevel="0" collapsed="false">
      <c r="A10" s="5" t="s">
        <v>46</v>
      </c>
      <c r="B10" s="7" t="s">
        <v>21</v>
      </c>
      <c r="C10" s="7" t="s">
        <v>21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6" t="s">
        <v>47</v>
      </c>
      <c r="L10" s="6" t="s">
        <v>48</v>
      </c>
    </row>
    <row r="11" customFormat="false" ht="61.5" hidden="false" customHeight="true" outlineLevel="0" collapsed="false">
      <c r="A11" s="5" t="s">
        <v>49</v>
      </c>
      <c r="B11" s="7" t="s">
        <v>21</v>
      </c>
      <c r="C11" s="7" t="s">
        <v>21</v>
      </c>
      <c r="D11" s="7" t="s">
        <v>21</v>
      </c>
      <c r="E11" s="7" t="s">
        <v>21</v>
      </c>
      <c r="F11" s="7" t="s">
        <v>21</v>
      </c>
      <c r="G11" s="7" t="s">
        <v>21</v>
      </c>
      <c r="H11" s="7" t="s">
        <v>21</v>
      </c>
      <c r="I11" s="7" t="s">
        <v>21</v>
      </c>
      <c r="J11" s="7" t="s">
        <v>21</v>
      </c>
      <c r="K11" s="6" t="s">
        <v>50</v>
      </c>
      <c r="L11" s="6" t="s">
        <v>51</v>
      </c>
    </row>
    <row r="12" customFormat="false" ht="61.5" hidden="false" customHeight="true" outlineLevel="0" collapsed="false">
      <c r="A12" s="5" t="s">
        <v>52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6" t="s">
        <v>53</v>
      </c>
      <c r="K12" s="6" t="s">
        <v>54</v>
      </c>
      <c r="L12" s="6" t="s">
        <v>55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8" t="s">
        <v>56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9" t="s">
        <v>57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9" t="s">
        <v>58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9" t="s">
        <v>59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9" t="s">
        <v>60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9" t="s">
        <v>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9" t="s">
        <v>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10" t="s">
        <v>65</v>
      </c>
      <c r="B4" s="11" t="n">
        <v>150000</v>
      </c>
      <c r="C4" s="3" t="s">
        <v>66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0" t="s">
        <v>67</v>
      </c>
      <c r="B5" s="12" t="n">
        <v>0.3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10" t="s">
        <v>68</v>
      </c>
      <c r="B6" s="11" t="n">
        <v>0</v>
      </c>
      <c r="C6" s="3" t="s">
        <v>69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10" t="s">
        <v>70</v>
      </c>
      <c r="B7" s="12" t="n">
        <v>0.07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48" hidden="false" customHeight="true" outlineLevel="0" collapsed="false">
      <c r="A9" s="4" t="s">
        <v>2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</row>
    <row r="10" customFormat="false" ht="15" hidden="false" customHeight="false" outlineLevel="0" collapsed="false">
      <c r="A10" s="13" t="s">
        <v>14</v>
      </c>
      <c r="B10" s="14" t="n">
        <v>0.016</v>
      </c>
      <c r="C10" s="14" t="n">
        <v>0.024</v>
      </c>
      <c r="D10" s="11" t="n">
        <v>1000</v>
      </c>
      <c r="E10" s="11" t="n">
        <v>50000</v>
      </c>
      <c r="F10" s="14" t="n">
        <v>0.05</v>
      </c>
      <c r="G10" s="15" t="n">
        <f aca="false">$B$4*((1-$B$5)*B10+$B$5*C10)*(1+$B$7)</f>
        <v>2953.2</v>
      </c>
      <c r="H10" s="15" t="n">
        <f aca="false">IF($B$4&gt;=E10,0,D10*(1+$B$7))</f>
        <v>0</v>
      </c>
      <c r="I10" s="15" t="n">
        <f aca="false">$B$6*F10*(1+$B$7)</f>
        <v>0</v>
      </c>
      <c r="J10" s="16" t="n">
        <f aca="false">G10+H10+I10</f>
        <v>2953.2</v>
      </c>
      <c r="K10" s="15" t="n">
        <f aca="false">J10*12</f>
        <v>35438.4</v>
      </c>
      <c r="L10" s="17" t="n">
        <f aca="false">RANK(J10,$J$10:$J$17,1)</f>
        <v>2</v>
      </c>
      <c r="M10" s="18" t="s">
        <v>83</v>
      </c>
    </row>
    <row r="11" customFormat="false" ht="15" hidden="false" customHeight="false" outlineLevel="0" collapsed="false">
      <c r="A11" s="13" t="s">
        <v>25</v>
      </c>
      <c r="B11" s="14" t="n">
        <v>0.016</v>
      </c>
      <c r="C11" s="14" t="n">
        <v>0.024</v>
      </c>
      <c r="D11" s="11" t="n">
        <v>500</v>
      </c>
      <c r="E11" s="11" t="n">
        <v>50000</v>
      </c>
      <c r="F11" s="14" t="n">
        <v>0.05</v>
      </c>
      <c r="G11" s="15" t="n">
        <f aca="false">$B$4*((1-$B$5)*B11+$B$5*C11)*(1+$B$7)</f>
        <v>2953.2</v>
      </c>
      <c r="H11" s="15" t="n">
        <f aca="false">IF($B$4&gt;=E11,0,D11*(1+$B$7))</f>
        <v>0</v>
      </c>
      <c r="I11" s="15" t="n">
        <f aca="false">$B$6*F11*(1+$B$7)</f>
        <v>0</v>
      </c>
      <c r="J11" s="16" t="n">
        <f aca="false">G11+H11+I11</f>
        <v>2953.2</v>
      </c>
      <c r="K11" s="15" t="n">
        <f aca="false">J11*12</f>
        <v>35438.4</v>
      </c>
      <c r="L11" s="17" t="n">
        <f aca="false">RANK(J11,$J$10:$J$17,1)</f>
        <v>2</v>
      </c>
      <c r="M11" s="18" t="s">
        <v>84</v>
      </c>
    </row>
    <row r="12" customFormat="false" ht="15" hidden="false" customHeight="false" outlineLevel="0" collapsed="false">
      <c r="A12" s="13" t="s">
        <v>31</v>
      </c>
      <c r="B12" s="14" t="n">
        <v>0.016</v>
      </c>
      <c r="C12" s="14" t="n">
        <v>0.024</v>
      </c>
      <c r="D12" s="11" t="n">
        <v>500</v>
      </c>
      <c r="E12" s="11" t="n">
        <v>20000</v>
      </c>
      <c r="F12" s="14" t="n">
        <v>0.05</v>
      </c>
      <c r="G12" s="15" t="n">
        <f aca="false">$B$4*((1-$B$5)*B12+$B$5*C12)*(1+$B$7)</f>
        <v>2953.2</v>
      </c>
      <c r="H12" s="15" t="n">
        <f aca="false">IF($B$4&gt;=E12,0,D12*(1+$B$7))</f>
        <v>0</v>
      </c>
      <c r="I12" s="15" t="n">
        <f aca="false">$B$6*F12*(1+$B$7)</f>
        <v>0</v>
      </c>
      <c r="J12" s="16" t="n">
        <f aca="false">G12+H12+I12</f>
        <v>2953.2</v>
      </c>
      <c r="K12" s="15" t="n">
        <f aca="false">J12*12</f>
        <v>35438.4</v>
      </c>
      <c r="L12" s="17" t="n">
        <f aca="false">RANK(J12,$J$10:$J$17,1)</f>
        <v>2</v>
      </c>
      <c r="M12" s="18" t="s">
        <v>84</v>
      </c>
    </row>
    <row r="13" customFormat="false" ht="15" hidden="false" customHeight="false" outlineLevel="0" collapsed="false">
      <c r="A13" s="13" t="s">
        <v>35</v>
      </c>
      <c r="B13" s="14" t="n">
        <v>0.016</v>
      </c>
      <c r="C13" s="14" t="n">
        <v>0.024</v>
      </c>
      <c r="D13" s="11" t="n">
        <v>0</v>
      </c>
      <c r="E13" s="11" t="n">
        <v>0</v>
      </c>
      <c r="F13" s="14" t="n">
        <v>0.05</v>
      </c>
      <c r="G13" s="15" t="n">
        <f aca="false">$B$4*((1-$B$5)*B13+$B$5*C13)*(1+$B$7)</f>
        <v>2953.2</v>
      </c>
      <c r="H13" s="15" t="n">
        <f aca="false">IF($B$4&gt;=E13,0,D13*(1+$B$7))</f>
        <v>0</v>
      </c>
      <c r="I13" s="15" t="n">
        <f aca="false">$B$6*F13*(1+$B$7)</f>
        <v>0</v>
      </c>
      <c r="J13" s="16" t="n">
        <f aca="false">G13+H13+I13</f>
        <v>2953.2</v>
      </c>
      <c r="K13" s="15" t="n">
        <f aca="false">J13*12</f>
        <v>35438.4</v>
      </c>
      <c r="L13" s="17" t="n">
        <f aca="false">RANK(J13,$J$10:$J$17,1)</f>
        <v>2</v>
      </c>
      <c r="M13" s="18" t="s">
        <v>85</v>
      </c>
    </row>
    <row r="14" customFormat="false" ht="15" hidden="false" customHeight="false" outlineLevel="0" collapsed="false">
      <c r="A14" s="13" t="s">
        <v>86</v>
      </c>
      <c r="B14" s="14" t="n">
        <v>0.015</v>
      </c>
      <c r="C14" s="14" t="n">
        <v>0.024</v>
      </c>
      <c r="D14" s="11" t="n">
        <v>0</v>
      </c>
      <c r="E14" s="11" t="n">
        <v>0</v>
      </c>
      <c r="F14" s="14" t="n">
        <v>0.05</v>
      </c>
      <c r="G14" s="15" t="n">
        <f aca="false">$B$4*((1-$B$5)*B14+$B$5*C14)*(1+$B$7)</f>
        <v>2840.85</v>
      </c>
      <c r="H14" s="15" t="n">
        <f aca="false">IF($B$4&gt;=E14,0,D14*(1+$B$7))</f>
        <v>0</v>
      </c>
      <c r="I14" s="15" t="n">
        <f aca="false">$B$6*F14*(1+$B$7)</f>
        <v>0</v>
      </c>
      <c r="J14" s="16" t="n">
        <f aca="false">G14+H14+I14</f>
        <v>2840.85</v>
      </c>
      <c r="K14" s="15" t="n">
        <f aca="false">J14*12</f>
        <v>34090.2</v>
      </c>
      <c r="L14" s="17" t="n">
        <f aca="false">RANK(J14,$J$10:$J$17,1)</f>
        <v>1</v>
      </c>
      <c r="M14" s="18" t="s">
        <v>87</v>
      </c>
    </row>
    <row r="15" customFormat="false" ht="15" hidden="false" customHeight="false" outlineLevel="0" collapsed="false">
      <c r="A15" s="13" t="s">
        <v>46</v>
      </c>
      <c r="B15" s="14" t="n">
        <v>0.016</v>
      </c>
      <c r="C15" s="14" t="n">
        <v>0.024</v>
      </c>
      <c r="D15" s="11" t="n">
        <v>0</v>
      </c>
      <c r="E15" s="11" t="n">
        <v>0</v>
      </c>
      <c r="F15" s="14" t="n">
        <v>0.05</v>
      </c>
      <c r="G15" s="15" t="n">
        <f aca="false">$B$4*((1-$B$5)*B15+$B$5*C15)*(1+$B$7)</f>
        <v>2953.2</v>
      </c>
      <c r="H15" s="15" t="n">
        <f aca="false">IF($B$4&gt;=E15,0,D15*(1+$B$7))</f>
        <v>0</v>
      </c>
      <c r="I15" s="15" t="n">
        <f aca="false">$B$6*F15*(1+$B$7)</f>
        <v>0</v>
      </c>
      <c r="J15" s="16" t="n">
        <f aca="false">G15+H15+I15</f>
        <v>2953.2</v>
      </c>
      <c r="K15" s="15" t="n">
        <f aca="false">J15*12</f>
        <v>35438.4</v>
      </c>
      <c r="L15" s="17" t="n">
        <f aca="false">RANK(J15,$J$10:$J$17,1)</f>
        <v>2</v>
      </c>
      <c r="M15" s="18" t="s">
        <v>88</v>
      </c>
    </row>
    <row r="16" customFormat="false" ht="15" hidden="false" customHeight="false" outlineLevel="0" collapsed="false">
      <c r="A16" s="13" t="s">
        <v>49</v>
      </c>
      <c r="B16" s="14" t="n">
        <v>0.016</v>
      </c>
      <c r="C16" s="14" t="n">
        <v>0.024</v>
      </c>
      <c r="D16" s="11" t="n">
        <v>0</v>
      </c>
      <c r="E16" s="11" t="n">
        <v>0</v>
      </c>
      <c r="F16" s="14" t="n">
        <v>0.05</v>
      </c>
      <c r="G16" s="15" t="n">
        <f aca="false">$B$4*((1-$B$5)*B16+$B$5*C16)*(1+$B$7)</f>
        <v>2953.2</v>
      </c>
      <c r="H16" s="15" t="n">
        <f aca="false">IF($B$4&gt;=E16,0,D16*(1+$B$7))</f>
        <v>0</v>
      </c>
      <c r="I16" s="15" t="n">
        <f aca="false">$B$6*F16*(1+$B$7)</f>
        <v>0</v>
      </c>
      <c r="J16" s="16" t="n">
        <f aca="false">G16+H16+I16</f>
        <v>2953.2</v>
      </c>
      <c r="K16" s="15" t="n">
        <f aca="false">J16*12</f>
        <v>35438.4</v>
      </c>
      <c r="L16" s="17" t="n">
        <f aca="false">RANK(J16,$J$10:$J$17,1)</f>
        <v>2</v>
      </c>
      <c r="M16" s="18" t="s">
        <v>88</v>
      </c>
    </row>
    <row r="17" customFormat="false" ht="15" hidden="false" customHeight="false" outlineLevel="0" collapsed="false">
      <c r="A17" s="13" t="s">
        <v>52</v>
      </c>
      <c r="B17" s="14" t="n">
        <v>0.016</v>
      </c>
      <c r="C17" s="14" t="n">
        <v>0.024</v>
      </c>
      <c r="D17" s="11" t="n">
        <v>0</v>
      </c>
      <c r="E17" s="11" t="n">
        <v>0</v>
      </c>
      <c r="F17" s="14" t="n">
        <v>0.048</v>
      </c>
      <c r="G17" s="15" t="n">
        <f aca="false">$B$4*((1-$B$5)*B17+$B$5*C17)*(1+$B$7)</f>
        <v>2953.2</v>
      </c>
      <c r="H17" s="15" t="n">
        <f aca="false">IF($B$4&gt;=E17,0,D17*(1+$B$7))</f>
        <v>0</v>
      </c>
      <c r="I17" s="15" t="n">
        <f aca="false">$B$6*F17*(1+$B$7)</f>
        <v>0</v>
      </c>
      <c r="J17" s="16" t="n">
        <f aca="false">G17+H17+I17</f>
        <v>2953.2</v>
      </c>
      <c r="K17" s="15" t="n">
        <f aca="false">J17*12</f>
        <v>35438.4</v>
      </c>
      <c r="L17" s="17" t="n">
        <f aca="false">RANK(J17,$J$10:$J$17,1)</f>
        <v>2</v>
      </c>
      <c r="M17" s="18" t="s">
        <v>89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8" t="s">
        <v>90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9" t="s">
        <v>91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9" t="s">
        <v>92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A22" s="9" t="s">
        <v>93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9" t="s">
        <v>94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</sheetData>
  <conditionalFormatting sqref="A10:L17">
    <cfRule type="expression" priority="2" aboveAverage="0" equalAverage="0" bottom="0" percent="0" rank="0" text="" dxfId="0">
      <formula>$L10=1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3.75" hidden="false" customHeight="true" outlineLevel="0" collapsed="false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86</v>
      </c>
      <c r="H4" s="4" t="s">
        <v>103</v>
      </c>
      <c r="I4" s="4" t="s">
        <v>104</v>
      </c>
      <c r="J4" s="4" t="s">
        <v>105</v>
      </c>
    </row>
    <row r="5" customFormat="false" ht="33.75" hidden="false" customHeight="true" outlineLevel="0" collapsed="false">
      <c r="A5" s="19" t="n">
        <v>1</v>
      </c>
      <c r="B5" s="6" t="s">
        <v>106</v>
      </c>
      <c r="C5" s="20"/>
      <c r="D5" s="20"/>
      <c r="E5" s="20"/>
      <c r="F5" s="20"/>
      <c r="G5" s="20"/>
      <c r="H5" s="20"/>
      <c r="I5" s="20"/>
      <c r="J5" s="20"/>
    </row>
    <row r="6" customFormat="false" ht="33.75" hidden="false" customHeight="true" outlineLevel="0" collapsed="false">
      <c r="A6" s="19" t="n">
        <v>2</v>
      </c>
      <c r="B6" s="6" t="s">
        <v>107</v>
      </c>
      <c r="C6" s="20"/>
      <c r="D6" s="20"/>
      <c r="E6" s="20"/>
      <c r="F6" s="20"/>
      <c r="G6" s="20"/>
      <c r="H6" s="20"/>
      <c r="I6" s="20"/>
      <c r="J6" s="20"/>
    </row>
    <row r="7" customFormat="false" ht="33.75" hidden="false" customHeight="true" outlineLevel="0" collapsed="false">
      <c r="A7" s="19" t="n">
        <v>3</v>
      </c>
      <c r="B7" s="6" t="s">
        <v>108</v>
      </c>
      <c r="C7" s="20"/>
      <c r="D7" s="20"/>
      <c r="E7" s="20"/>
      <c r="F7" s="20"/>
      <c r="G7" s="20"/>
      <c r="H7" s="20"/>
      <c r="I7" s="20"/>
      <c r="J7" s="20"/>
    </row>
    <row r="8" customFormat="false" ht="33.75" hidden="false" customHeight="true" outlineLevel="0" collapsed="false">
      <c r="A8" s="19" t="n">
        <v>4</v>
      </c>
      <c r="B8" s="6" t="s">
        <v>109</v>
      </c>
      <c r="C8" s="20"/>
      <c r="D8" s="20"/>
      <c r="E8" s="20"/>
      <c r="F8" s="20"/>
      <c r="G8" s="20"/>
      <c r="H8" s="20"/>
      <c r="I8" s="20"/>
      <c r="J8" s="20"/>
    </row>
    <row r="9" customFormat="false" ht="33.75" hidden="false" customHeight="true" outlineLevel="0" collapsed="false">
      <c r="A9" s="19" t="n">
        <v>5</v>
      </c>
      <c r="B9" s="6" t="s">
        <v>110</v>
      </c>
      <c r="C9" s="20"/>
      <c r="D9" s="20"/>
      <c r="E9" s="20"/>
      <c r="F9" s="20"/>
      <c r="G9" s="20"/>
      <c r="H9" s="20"/>
      <c r="I9" s="20"/>
      <c r="J9" s="20"/>
    </row>
    <row r="10" customFormat="false" ht="33.75" hidden="false" customHeight="true" outlineLevel="0" collapsed="false">
      <c r="A10" s="19" t="n">
        <v>6</v>
      </c>
      <c r="B10" s="6" t="s">
        <v>111</v>
      </c>
      <c r="C10" s="20"/>
      <c r="D10" s="20"/>
      <c r="E10" s="20"/>
      <c r="F10" s="20"/>
      <c r="G10" s="20"/>
      <c r="H10" s="20"/>
      <c r="I10" s="20"/>
      <c r="J10" s="20"/>
    </row>
    <row r="11" customFormat="false" ht="33.75" hidden="false" customHeight="true" outlineLevel="0" collapsed="false">
      <c r="A11" s="19" t="n">
        <v>7</v>
      </c>
      <c r="B11" s="6" t="s">
        <v>112</v>
      </c>
      <c r="C11" s="20"/>
      <c r="D11" s="20"/>
      <c r="E11" s="20"/>
      <c r="F11" s="20"/>
      <c r="G11" s="20"/>
      <c r="H11" s="20"/>
      <c r="I11" s="20"/>
      <c r="J11" s="20"/>
    </row>
    <row r="12" customFormat="false" ht="33.75" hidden="false" customHeight="true" outlineLevel="0" collapsed="false">
      <c r="A12" s="19" t="n">
        <v>8</v>
      </c>
      <c r="B12" s="6" t="s">
        <v>113</v>
      </c>
      <c r="C12" s="20"/>
      <c r="D12" s="20"/>
      <c r="E12" s="20"/>
      <c r="F12" s="20"/>
      <c r="G12" s="20"/>
      <c r="H12" s="20"/>
      <c r="I12" s="20"/>
      <c r="J12" s="20"/>
    </row>
    <row r="13" customFormat="false" ht="33.75" hidden="false" customHeight="true" outlineLevel="0" collapsed="false">
      <c r="A13" s="19" t="n">
        <v>9</v>
      </c>
      <c r="B13" s="6" t="s">
        <v>114</v>
      </c>
      <c r="C13" s="20"/>
      <c r="D13" s="20"/>
      <c r="E13" s="20"/>
      <c r="F13" s="20"/>
      <c r="G13" s="20"/>
      <c r="H13" s="20"/>
      <c r="I13" s="20"/>
      <c r="J13" s="20"/>
    </row>
    <row r="14" customFormat="false" ht="33.75" hidden="false" customHeight="true" outlineLevel="0" collapsed="false">
      <c r="A14" s="19" t="n">
        <v>10</v>
      </c>
      <c r="B14" s="6" t="s">
        <v>115</v>
      </c>
      <c r="C14" s="20"/>
      <c r="D14" s="20"/>
      <c r="E14" s="20"/>
      <c r="F14" s="20"/>
      <c r="G14" s="20"/>
      <c r="H14" s="20"/>
      <c r="I14" s="20"/>
      <c r="J14" s="20"/>
    </row>
    <row r="15" customFormat="false" ht="33.75" hidden="false" customHeight="true" outlineLevel="0" collapsed="false">
      <c r="A15" s="19" t="n">
        <v>11</v>
      </c>
      <c r="B15" s="6" t="s">
        <v>116</v>
      </c>
      <c r="C15" s="20"/>
      <c r="D15" s="20"/>
      <c r="E15" s="20"/>
      <c r="F15" s="20"/>
      <c r="G15" s="20"/>
      <c r="H15" s="20"/>
      <c r="I15" s="20"/>
      <c r="J15" s="20"/>
    </row>
    <row r="16" customFormat="false" ht="33.75" hidden="false" customHeight="true" outlineLevel="0" collapsed="false">
      <c r="A16" s="19" t="n">
        <v>12</v>
      </c>
      <c r="B16" s="6" t="s">
        <v>117</v>
      </c>
      <c r="C16" s="20"/>
      <c r="D16" s="20"/>
      <c r="E16" s="20"/>
      <c r="F16" s="20"/>
      <c r="G16" s="20"/>
      <c r="H16" s="20"/>
      <c r="I16" s="20"/>
      <c r="J1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2026-09-29T19:30:50Z</dcterms:created>
  <dc:creator>openpyxl</dc:creator>
  <dc:description/>
  <dc:language>en-US</dc:language>
  <cp:lastModifiedBy/>
  <dcterms:modified xsi:type="dcterms:W3CDTF">2026-09-29T19:30:50Z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